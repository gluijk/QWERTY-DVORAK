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lab\41_DVORAK\"/>
    </mc:Choice>
  </mc:AlternateContent>
  <xr:revisionPtr revIDLastSave="0" documentId="13_ncr:1_{1403304C-38F0-4E40-A329-8708891677C3}" xr6:coauthVersionLast="47" xr6:coauthVersionMax="47" xr10:uidLastSave="{00000000-0000-0000-0000-000000000000}"/>
  <bookViews>
    <workbookView xWindow="-120" yWindow="-120" windowWidth="29040" windowHeight="17520" xr2:uid="{FD6EA189-D2EB-49E7-8CB8-67457DB4D856}"/>
  </bookViews>
  <sheets>
    <sheet name="Keyboards" sheetId="2" r:id="rId1"/>
    <sheet name="elfindelaeternidad" sheetId="7" r:id="rId2"/>
    <sheet name="citaconrama" sheetId="6" r:id="rId3"/>
    <sheet name="histograma" sheetId="8" r:id="rId4"/>
    <sheet name="DVORAK_ISO" sheetId="3" state="hidden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0" i="8" l="1"/>
  <c r="G43" i="7"/>
  <c r="F43" i="7"/>
  <c r="G41" i="7"/>
  <c r="F41" i="7"/>
  <c r="H41" i="7" s="1"/>
  <c r="G42" i="7"/>
  <c r="H42" i="7" s="1"/>
  <c r="F42" i="7"/>
  <c r="F23" i="7"/>
  <c r="G23" i="7"/>
  <c r="H23" i="7" s="1"/>
  <c r="H21" i="7"/>
  <c r="G2" i="7"/>
  <c r="G3" i="7"/>
  <c r="G4" i="7"/>
  <c r="G5" i="7"/>
  <c r="G6" i="7"/>
  <c r="G7" i="7"/>
  <c r="G8" i="7"/>
  <c r="G9" i="7"/>
  <c r="G10" i="7"/>
  <c r="G11" i="7"/>
  <c r="G12" i="7"/>
  <c r="H12" i="7" s="1"/>
  <c r="G13" i="7"/>
  <c r="G14" i="7"/>
  <c r="G15" i="7"/>
  <c r="G16" i="7"/>
  <c r="G17" i="7"/>
  <c r="G18" i="7"/>
  <c r="G19" i="7"/>
  <c r="G20" i="7"/>
  <c r="G21" i="7"/>
  <c r="G22" i="7"/>
  <c r="H22" i="7" s="1"/>
  <c r="G24" i="7"/>
  <c r="H24" i="7" s="1"/>
  <c r="G25" i="7"/>
  <c r="H25" i="7" s="1"/>
  <c r="G26" i="7"/>
  <c r="G27" i="7"/>
  <c r="G28" i="7"/>
  <c r="G29" i="7"/>
  <c r="G30" i="7"/>
  <c r="G31" i="7"/>
  <c r="G32" i="7"/>
  <c r="G33" i="7"/>
  <c r="G34" i="7"/>
  <c r="H34" i="7" s="1"/>
  <c r="G35" i="7"/>
  <c r="H35" i="7" s="1"/>
  <c r="G36" i="7"/>
  <c r="H36" i="7" s="1"/>
  <c r="G37" i="7"/>
  <c r="H37" i="7" s="1"/>
  <c r="G38" i="7"/>
  <c r="H38" i="7" s="1"/>
  <c r="G39" i="7"/>
  <c r="H39" i="7" s="1"/>
  <c r="F2" i="7"/>
  <c r="F3" i="7"/>
  <c r="F4" i="7"/>
  <c r="F5" i="7"/>
  <c r="F6" i="7"/>
  <c r="F7" i="7"/>
  <c r="F8" i="7"/>
  <c r="F9" i="7"/>
  <c r="F10" i="7"/>
  <c r="H10" i="7" s="1"/>
  <c r="F11" i="7"/>
  <c r="H11" i="7" s="1"/>
  <c r="F12" i="7"/>
  <c r="F13" i="7"/>
  <c r="F14" i="7"/>
  <c r="F15" i="7"/>
  <c r="F16" i="7"/>
  <c r="F17" i="7"/>
  <c r="H17" i="7" s="1"/>
  <c r="F18" i="7"/>
  <c r="H18" i="7" s="1"/>
  <c r="F19" i="7"/>
  <c r="H19" i="7" s="1"/>
  <c r="F20" i="7"/>
  <c r="H20" i="7" s="1"/>
  <c r="F21" i="7"/>
  <c r="F22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H3" i="7" l="1"/>
  <c r="H16" i="7"/>
  <c r="H26" i="7"/>
  <c r="H9" i="7"/>
  <c r="H8" i="7"/>
  <c r="H13" i="7"/>
  <c r="H7" i="7"/>
  <c r="H29" i="7"/>
  <c r="H43" i="7"/>
  <c r="H4" i="7"/>
  <c r="H33" i="7"/>
  <c r="H32" i="7"/>
  <c r="H31" i="7"/>
  <c r="H6" i="7"/>
  <c r="H2" i="7"/>
  <c r="H15" i="7"/>
  <c r="H14" i="7"/>
  <c r="H30" i="7"/>
  <c r="H28" i="7"/>
  <c r="H5" i="7"/>
  <c r="H27" i="7"/>
</calcChain>
</file>

<file path=xl/sharedStrings.xml><?xml version="1.0" encoding="utf-8"?>
<sst xmlns="http://schemas.openxmlformats.org/spreadsheetml/2006/main" count="159" uniqueCount="65">
  <si>
    <t>A</t>
  </si>
  <si>
    <t>B</t>
  </si>
  <si>
    <t>Z</t>
  </si>
  <si>
    <t>Q</t>
  </si>
  <si>
    <t>J</t>
  </si>
  <si>
    <t>K</t>
  </si>
  <si>
    <t>X</t>
  </si>
  <si>
    <t>M</t>
  </si>
  <si>
    <t>W</t>
  </si>
  <si>
    <t>V</t>
  </si>
  <si>
    <t>O</t>
  </si>
  <si>
    <t>E</t>
  </si>
  <si>
    <t>U</t>
  </si>
  <si>
    <t>I</t>
  </si>
  <si>
    <t>D</t>
  </si>
  <si>
    <t>R</t>
  </si>
  <si>
    <t>T</t>
  </si>
  <si>
    <t>N</t>
  </si>
  <si>
    <t>S</t>
  </si>
  <si>
    <t>Ñ</t>
  </si>
  <si>
    <t>P</t>
  </si>
  <si>
    <t>Y</t>
  </si>
  <si>
    <t>F</t>
  </si>
  <si>
    <t>G</t>
  </si>
  <si>
    <t>C</t>
  </si>
  <si>
    <t>H</t>
  </si>
  <si>
    <t>L</t>
  </si>
  <si>
    <t>Teclado DVORAK</t>
  </si>
  <si>
    <t>Teclado QWERTY</t>
  </si>
  <si>
    <t xml:space="preserve"> </t>
  </si>
  <si>
    <t>z</t>
  </si>
  <si>
    <t>y</t>
  </si>
  <si>
    <t>x</t>
  </si>
  <si>
    <t>w</t>
  </si>
  <si>
    <t>v</t>
  </si>
  <si>
    <t>u</t>
  </si>
  <si>
    <t>t</t>
  </si>
  <si>
    <t>s</t>
  </si>
  <si>
    <t>r</t>
  </si>
  <si>
    <t>q</t>
  </si>
  <si>
    <t>p</t>
  </si>
  <si>
    <t>o</t>
  </si>
  <si>
    <t>ñ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</si>
  <si>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</si>
  <si>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</si>
  <si>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</si>
  <si>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</si>
  <si>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</si>
  <si>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</si>
  <si>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</si>
  <si>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</si>
  <si>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</si>
  <si>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</si>
  <si>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</si>
  <si>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</si>
  <si>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b</t>
  </si>
  <si>
    <t>a</t>
  </si>
  <si>
    <t>percent</t>
  </si>
  <si>
    <t>count</t>
  </si>
  <si>
    <t>char</t>
  </si>
  <si>
    <t>value</t>
  </si>
  <si>
    <t>citaconrama</t>
  </si>
  <si>
    <t>elfindelaeternidad</t>
  </si>
  <si>
    <t>números</t>
  </si>
  <si>
    <t>histograma de ocurrencias por carácter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</si>
</sst>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7" formatCode="0.0"/>
    <numFmt numFmtId="169" formatCode="0.000%"/>
  </numFmts>
  <fonts count="6" x14ac:knownFonts="1">
    <font>
      <sz val="11"/>
      <color theme="1"/>
      <name val="Calibri"/>
      <family val="2"/>
      <scheme val="minor"/>
    </font>
    <font>
      <sz val="20"/>
      <color theme="1"/>
      <name val="Bahnschrift Light"/>
      <family val="2"/>
    </font>
    <font>
      <b/>
      <sz val="18"/>
      <color theme="1"/>
      <name val="Bahnschrift Light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ahnschrift Light"/>
      <family val="2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C0080"/>
        <bgColor indexed="64"/>
      </patternFill>
    </fill>
    <fill>
      <patternFill patternType="solid">
        <fgColor rgb="FFFFFE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FB"/>
        <bgColor indexed="64"/>
      </patternFill>
    </fill>
    <fill>
      <patternFill patternType="solid">
        <fgColor rgb="FFFFF3F9"/>
        <bgColor indexed="64"/>
      </patternFill>
    </fill>
    <fill>
      <patternFill patternType="solid">
        <fgColor rgb="FFFFBFDF"/>
        <bgColor indexed="64"/>
      </patternFill>
    </fill>
    <fill>
      <patternFill patternType="solid">
        <fgColor rgb="FFFFE7F3"/>
        <bgColor indexed="64"/>
      </patternFill>
    </fill>
    <fill>
      <patternFill patternType="solid">
        <fgColor rgb="FFFF70B8"/>
        <bgColor indexed="64"/>
      </patternFill>
    </fill>
    <fill>
      <patternFill patternType="solid">
        <fgColor rgb="FFFFDFEF"/>
        <bgColor indexed="64"/>
      </patternFill>
    </fill>
    <fill>
      <patternFill patternType="solid">
        <fgColor rgb="FFFFFCFD"/>
        <bgColor indexed="64"/>
      </patternFill>
    </fill>
    <fill>
      <patternFill patternType="solid">
        <fgColor rgb="FFFFFBFD"/>
        <bgColor indexed="64"/>
      </patternFill>
    </fill>
    <fill>
      <patternFill patternType="solid">
        <fgColor rgb="FFFFEBF5"/>
        <bgColor indexed="64"/>
      </patternFill>
    </fill>
    <fill>
      <patternFill patternType="solid">
        <fgColor rgb="FFFF92C8"/>
        <bgColor indexed="64"/>
      </patternFill>
    </fill>
    <fill>
      <patternFill patternType="solid">
        <fgColor rgb="FFFF6FB7"/>
        <bgColor indexed="64"/>
      </patternFill>
    </fill>
    <fill>
      <patternFill patternType="solid">
        <fgColor rgb="FFEA2693"/>
        <bgColor indexed="64"/>
      </patternFill>
    </fill>
    <fill>
      <patternFill patternType="solid">
        <fgColor rgb="FFFFDAED"/>
        <bgColor indexed="64"/>
      </patternFill>
    </fill>
    <fill>
      <patternFill patternType="solid">
        <fgColor rgb="FFFFA3D1"/>
        <bgColor indexed="64"/>
      </patternFill>
    </fill>
    <fill>
      <patternFill patternType="solid">
        <fgColor rgb="FFE31D8E"/>
        <bgColor indexed="64"/>
      </patternFill>
    </fill>
    <fill>
      <patternFill patternType="solid">
        <fgColor rgb="FFFFEFF7"/>
        <bgColor indexed="64"/>
      </patternFill>
    </fill>
    <fill>
      <patternFill patternType="solid">
        <fgColor rgb="FFFFE3F1"/>
        <bgColor indexed="64"/>
      </patternFill>
    </fill>
    <fill>
      <patternFill patternType="solid">
        <fgColor rgb="FFFF84C1"/>
        <bgColor indexed="64"/>
      </patternFill>
    </fill>
    <fill>
      <patternFill patternType="solid">
        <fgColor rgb="FFFFBBDD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44A2"/>
        <bgColor indexed="64"/>
      </patternFill>
    </fill>
    <fill>
      <patternFill patternType="solid">
        <fgColor rgb="FFFF9DCE"/>
        <bgColor indexed="64"/>
      </patternFill>
    </fill>
    <fill>
      <patternFill patternType="solid">
        <fgColor rgb="FFFF9ECF"/>
        <bgColor indexed="64"/>
      </patternFill>
    </fill>
    <fill>
      <patternFill patternType="solid">
        <fgColor rgb="FFFFFCFE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11" fontId="0" fillId="0" borderId="0" xfId="0" applyNumberFormat="1" applyAlignment="1">
      <alignment horizontal="center"/>
    </xf>
    <xf numFmtId="164" fontId="0" fillId="0" borderId="0" xfId="1" applyNumberFormat="1" applyFont="1"/>
    <xf numFmtId="167" fontId="0" fillId="0" borderId="0" xfId="0" applyNumberFormat="1"/>
    <xf numFmtId="3" fontId="0" fillId="0" borderId="0" xfId="0" applyNumberFormat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24" borderId="2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2" borderId="7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13" borderId="2" xfId="0" applyFont="1" applyFill="1" applyBorder="1" applyAlignment="1">
      <alignment horizontal="center" vertical="center"/>
    </xf>
    <xf numFmtId="0" fontId="1" fillId="19" borderId="2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18" borderId="2" xfId="0" applyFont="1" applyFill="1" applyBorder="1" applyAlignment="1">
      <alignment horizontal="center" vertical="center"/>
    </xf>
    <xf numFmtId="0" fontId="1" fillId="25" borderId="2" xfId="0" applyFont="1" applyFill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23" borderId="2" xfId="0" applyFont="1" applyFill="1" applyBorder="1" applyAlignment="1">
      <alignment horizontal="center" vertical="center"/>
    </xf>
    <xf numFmtId="0" fontId="1" fillId="12" borderId="2" xfId="0" applyFont="1" applyFill="1" applyBorder="1" applyAlignment="1">
      <alignment horizontal="center" vertical="center"/>
    </xf>
    <xf numFmtId="0" fontId="1" fillId="17" borderId="2" xfId="0" applyFont="1" applyFill="1" applyBorder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1" fillId="21" borderId="2" xfId="0" applyFont="1" applyFill="1" applyBorder="1" applyAlignment="1">
      <alignment horizontal="center" vertical="center"/>
    </xf>
    <xf numFmtId="0" fontId="1" fillId="22" borderId="2" xfId="0" applyFont="1" applyFill="1" applyBorder="1" applyAlignment="1">
      <alignment horizontal="center" vertical="center"/>
    </xf>
    <xf numFmtId="0" fontId="1" fillId="16" borderId="2" xfId="0" applyFont="1" applyFill="1" applyBorder="1" applyAlignment="1">
      <alignment horizontal="center" vertical="center"/>
    </xf>
    <xf numFmtId="0" fontId="1" fillId="26" borderId="2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9" borderId="2" xfId="0" applyFont="1" applyFill="1" applyBorder="1" applyAlignment="1">
      <alignment horizontal="center" vertical="center"/>
    </xf>
    <xf numFmtId="0" fontId="1" fillId="20" borderId="2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1" fillId="27" borderId="2" xfId="0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1" fillId="28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3" fontId="0" fillId="30" borderId="0" xfId="0" applyNumberFormat="1" applyFill="1"/>
    <xf numFmtId="0" fontId="0" fillId="30" borderId="0" xfId="0" applyFill="1" applyAlignment="1">
      <alignment horizontal="center"/>
    </xf>
    <xf numFmtId="167" fontId="0" fillId="0" borderId="0" xfId="0" applyNumberFormat="1" applyAlignment="1">
      <alignment horizontal="center"/>
    </xf>
    <xf numFmtId="169" fontId="0" fillId="0" borderId="0" xfId="1" applyNumberFormat="1" applyFont="1"/>
    <xf numFmtId="3" fontId="4" fillId="0" borderId="0" xfId="0" applyNumberFormat="1" applyFont="1" applyAlignment="1">
      <alignment horizontal="center"/>
    </xf>
    <xf numFmtId="3" fontId="4" fillId="0" borderId="0" xfId="0" applyNumberFormat="1" applyFont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Scatter</a:t>
            </a:r>
            <a:r>
              <a:rPr lang="es-ES" baseline="0"/>
              <a:t> de ocurrencias por carácter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2277138434618749"/>
          <c:y val="6.621852268466441E-2"/>
          <c:w val="0.83035302211155226"/>
          <c:h val="0.84431436070491184"/>
        </c:manualLayout>
      </c:layout>
      <c:scatterChart>
        <c:scatterStyle val="lineMarker"/>
        <c:varyColors val="0"/>
        <c:ser>
          <c:idx val="0"/>
          <c:order val="0"/>
          <c:tx>
            <c:strRef>
              <c:f>elfindelaeternidad!$G$1</c:f>
              <c:strCache>
                <c:ptCount val="1"/>
                <c:pt idx="0">
                  <c:v>citaconrama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>
                  <a:alpha val="37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5875" cap="rnd">
                <a:solidFill>
                  <a:schemeClr val="tx1">
                    <a:lumMod val="65000"/>
                    <a:lumOff val="35000"/>
                  </a:schemeClr>
                </a:solidFill>
                <a:prstDash val="sysDot"/>
              </a:ln>
              <a:effectLst/>
            </c:spPr>
            <c:trendlineType val="linear"/>
            <c:forward val="100000"/>
            <c:backward val="13"/>
            <c:intercept val="0"/>
            <c:dispRSqr val="1"/>
            <c:dispEq val="1"/>
            <c:trendlineLbl>
              <c:layout>
                <c:manualLayout>
                  <c:x val="-9.6839326708093115E-2"/>
                  <c:y val="-3.9215686274509803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</c:trendlineLbl>
          </c:trendline>
          <c:xVal>
            <c:numRef>
              <c:f>elfindelaeternidad!$F$2:$F$39</c:f>
              <c:numCache>
                <c:formatCode>#,##0</c:formatCode>
                <c:ptCount val="38"/>
                <c:pt idx="0">
                  <c:v>68158</c:v>
                </c:pt>
                <c:pt idx="1">
                  <c:v>112</c:v>
                </c:pt>
                <c:pt idx="2">
                  <c:v>53</c:v>
                </c:pt>
                <c:pt idx="3">
                  <c:v>88</c:v>
                </c:pt>
                <c:pt idx="4">
                  <c:v>14</c:v>
                </c:pt>
                <c:pt idx="5">
                  <c:v>71</c:v>
                </c:pt>
                <c:pt idx="6">
                  <c:v>72</c:v>
                </c:pt>
                <c:pt idx="7">
                  <c:v>21</c:v>
                </c:pt>
                <c:pt idx="8">
                  <c:v>38</c:v>
                </c:pt>
                <c:pt idx="9">
                  <c:v>64</c:v>
                </c:pt>
                <c:pt idx="10">
                  <c:v>68</c:v>
                </c:pt>
                <c:pt idx="11">
                  <c:v>41826</c:v>
                </c:pt>
                <c:pt idx="12">
                  <c:v>5119</c:v>
                </c:pt>
                <c:pt idx="13">
                  <c:v>13604</c:v>
                </c:pt>
                <c:pt idx="14">
                  <c:v>16633</c:v>
                </c:pt>
                <c:pt idx="15">
                  <c:v>45255</c:v>
                </c:pt>
                <c:pt idx="16">
                  <c:v>2216</c:v>
                </c:pt>
                <c:pt idx="17">
                  <c:v>3815</c:v>
                </c:pt>
                <c:pt idx="18">
                  <c:v>4371</c:v>
                </c:pt>
                <c:pt idx="19">
                  <c:v>23250</c:v>
                </c:pt>
                <c:pt idx="20">
                  <c:v>1664</c:v>
                </c:pt>
                <c:pt idx="21">
                  <c:v>34</c:v>
                </c:pt>
                <c:pt idx="22">
                  <c:v>19157</c:v>
                </c:pt>
                <c:pt idx="23">
                  <c:v>9801</c:v>
                </c:pt>
                <c:pt idx="24">
                  <c:v>24449</c:v>
                </c:pt>
                <c:pt idx="25">
                  <c:v>434</c:v>
                </c:pt>
                <c:pt idx="26">
                  <c:v>32882</c:v>
                </c:pt>
                <c:pt idx="27">
                  <c:v>9150</c:v>
                </c:pt>
                <c:pt idx="28">
                  <c:v>3882</c:v>
                </c:pt>
                <c:pt idx="29">
                  <c:v>22888</c:v>
                </c:pt>
                <c:pt idx="30">
                  <c:v>24398</c:v>
                </c:pt>
                <c:pt idx="31">
                  <c:v>14761</c:v>
                </c:pt>
                <c:pt idx="32">
                  <c:v>14494</c:v>
                </c:pt>
                <c:pt idx="33">
                  <c:v>3245</c:v>
                </c:pt>
                <c:pt idx="34">
                  <c:v>382</c:v>
                </c:pt>
                <c:pt idx="35">
                  <c:v>583</c:v>
                </c:pt>
                <c:pt idx="36">
                  <c:v>2674</c:v>
                </c:pt>
                <c:pt idx="37">
                  <c:v>1103</c:v>
                </c:pt>
              </c:numCache>
            </c:numRef>
          </c:xVal>
          <c:yVal>
            <c:numRef>
              <c:f>elfindelaeternidad!$G$2:$G$39</c:f>
              <c:numCache>
                <c:formatCode>#,##0</c:formatCode>
                <c:ptCount val="38"/>
                <c:pt idx="0">
                  <c:v>77012</c:v>
                </c:pt>
                <c:pt idx="1">
                  <c:v>34</c:v>
                </c:pt>
                <c:pt idx="2">
                  <c:v>39</c:v>
                </c:pt>
                <c:pt idx="3">
                  <c:v>26</c:v>
                </c:pt>
                <c:pt idx="4">
                  <c:v>20</c:v>
                </c:pt>
                <c:pt idx="5">
                  <c:v>17</c:v>
                </c:pt>
                <c:pt idx="6">
                  <c:v>9</c:v>
                </c:pt>
                <c:pt idx="7">
                  <c:v>8</c:v>
                </c:pt>
                <c:pt idx="8">
                  <c:v>21</c:v>
                </c:pt>
                <c:pt idx="9">
                  <c:v>7</c:v>
                </c:pt>
                <c:pt idx="10">
                  <c:v>13</c:v>
                </c:pt>
                <c:pt idx="11">
                  <c:v>47533</c:v>
                </c:pt>
                <c:pt idx="12">
                  <c:v>6222</c:v>
                </c:pt>
                <c:pt idx="13">
                  <c:v>14932</c:v>
                </c:pt>
                <c:pt idx="14">
                  <c:v>18117</c:v>
                </c:pt>
                <c:pt idx="15">
                  <c:v>47719</c:v>
                </c:pt>
                <c:pt idx="16">
                  <c:v>2263</c:v>
                </c:pt>
                <c:pt idx="17">
                  <c:v>3968</c:v>
                </c:pt>
                <c:pt idx="18">
                  <c:v>3381</c:v>
                </c:pt>
                <c:pt idx="19">
                  <c:v>24035</c:v>
                </c:pt>
                <c:pt idx="20">
                  <c:v>1551</c:v>
                </c:pt>
                <c:pt idx="21">
                  <c:v>311</c:v>
                </c:pt>
                <c:pt idx="22">
                  <c:v>18764</c:v>
                </c:pt>
                <c:pt idx="23">
                  <c:v>11381</c:v>
                </c:pt>
                <c:pt idx="24">
                  <c:v>25933</c:v>
                </c:pt>
                <c:pt idx="25">
                  <c:v>455</c:v>
                </c:pt>
                <c:pt idx="26">
                  <c:v>34380</c:v>
                </c:pt>
                <c:pt idx="27">
                  <c:v>9747</c:v>
                </c:pt>
                <c:pt idx="28">
                  <c:v>3025</c:v>
                </c:pt>
                <c:pt idx="29">
                  <c:v>26142</c:v>
                </c:pt>
                <c:pt idx="30">
                  <c:v>26097</c:v>
                </c:pt>
                <c:pt idx="31">
                  <c:v>16755</c:v>
                </c:pt>
                <c:pt idx="32">
                  <c:v>15697</c:v>
                </c:pt>
                <c:pt idx="33">
                  <c:v>3628</c:v>
                </c:pt>
                <c:pt idx="34">
                  <c:v>38</c:v>
                </c:pt>
                <c:pt idx="35">
                  <c:v>748</c:v>
                </c:pt>
                <c:pt idx="36">
                  <c:v>2548</c:v>
                </c:pt>
                <c:pt idx="37">
                  <c:v>1526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DF-45FD-85B7-DE97293A4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525759"/>
        <c:axId val="2084531039"/>
      </c:scatterChart>
      <c:valAx>
        <c:axId val="2084525759"/>
        <c:scaling>
          <c:logBase val="10"/>
          <c:orientation val="minMax"/>
          <c:max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100"/>
                  <a:t>"El fin de la Eternidad"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84531039"/>
        <c:crosses val="autoZero"/>
        <c:crossBetween val="midCat"/>
      </c:valAx>
      <c:valAx>
        <c:axId val="2084531039"/>
        <c:scaling>
          <c:logBase val="10"/>
          <c:orientation val="minMax"/>
          <c:max val="1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0" i="0" u="none" strike="noStrike" kern="1200" spc="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"Cita con Rama"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84525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Histograma de ocurrencias por carácter</a:t>
            </a:r>
          </a:p>
          <a:p>
            <a:pPr>
              <a:defRPr/>
            </a:pPr>
            <a:r>
              <a:rPr lang="en-US" sz="1100"/>
              <a:t>("El</a:t>
            </a:r>
            <a:r>
              <a:rPr lang="en-US" sz="1100" baseline="0"/>
              <a:t> fin de la Eternidad" + "Cita con Rama"</a:t>
            </a:r>
            <a:r>
              <a:rPr lang="en-US" baseline="0"/>
              <a:t>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histograma!$D$1</c:f>
              <c:strCache>
                <c:ptCount val="1"/>
                <c:pt idx="0">
                  <c:v>histograma de ocurrencias por carácter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histograma!$A$2:$A$29</c:f>
              <c:strCache>
                <c:ptCount val="28"/>
                <c:pt idx="0">
                  <c:v> </c:v>
                </c:pt>
                <c:pt idx="1">
                  <c:v>e</c:v>
                </c:pt>
                <c:pt idx="2">
                  <c:v>a</c:v>
                </c:pt>
                <c:pt idx="3">
                  <c:v>o</c:v>
                </c:pt>
                <c:pt idx="4">
                  <c:v>s</c:v>
                </c:pt>
                <c:pt idx="5">
                  <c:v>n</c:v>
                </c:pt>
                <c:pt idx="6">
                  <c:v>r</c:v>
                </c:pt>
                <c:pt idx="7">
                  <c:v>i</c:v>
                </c:pt>
                <c:pt idx="8">
                  <c:v>l</c:v>
                </c:pt>
                <c:pt idx="9">
                  <c:v>d</c:v>
                </c:pt>
                <c:pt idx="10">
                  <c:v>t</c:v>
                </c:pt>
                <c:pt idx="11">
                  <c:v>u</c:v>
                </c:pt>
                <c:pt idx="12">
                  <c:v>c</c:v>
                </c:pt>
                <c:pt idx="13">
                  <c:v>m</c:v>
                </c:pt>
                <c:pt idx="14">
                  <c:v>p</c:v>
                </c:pt>
                <c:pt idx="15">
                  <c:v>b</c:v>
                </c:pt>
                <c:pt idx="16">
                  <c:v>g</c:v>
                </c:pt>
                <c:pt idx="17">
                  <c:v>h</c:v>
                </c:pt>
                <c:pt idx="18">
                  <c:v>q</c:v>
                </c:pt>
                <c:pt idx="19">
                  <c:v>v</c:v>
                </c:pt>
                <c:pt idx="20">
                  <c:v>y</c:v>
                </c:pt>
                <c:pt idx="21">
                  <c:v>f</c:v>
                </c:pt>
                <c:pt idx="22">
                  <c:v>j</c:v>
                </c:pt>
                <c:pt idx="23">
                  <c:v>z</c:v>
                </c:pt>
                <c:pt idx="24">
                  <c:v>x</c:v>
                </c:pt>
                <c:pt idx="25">
                  <c:v>ñ</c:v>
                </c:pt>
                <c:pt idx="26">
                  <c:v>w</c:v>
                </c:pt>
                <c:pt idx="27">
                  <c:v>k</c:v>
                </c:pt>
              </c:strCache>
            </c:strRef>
          </c:cat>
          <c:val>
            <c:numRef>
              <c:f>histograma!$D$2:$D$29</c:f>
              <c:numCache>
                <c:formatCode>#,##0</c:formatCode>
                <c:ptCount val="28"/>
                <c:pt idx="0">
                  <c:v>145170</c:v>
                </c:pt>
                <c:pt idx="1">
                  <c:v>92974</c:v>
                </c:pt>
                <c:pt idx="2">
                  <c:v>89359</c:v>
                </c:pt>
                <c:pt idx="3">
                  <c:v>67262</c:v>
                </c:pt>
                <c:pt idx="4">
                  <c:v>50495</c:v>
                </c:pt>
                <c:pt idx="5">
                  <c:v>50382</c:v>
                </c:pt>
                <c:pt idx="6">
                  <c:v>49030</c:v>
                </c:pt>
                <c:pt idx="7">
                  <c:v>47285</c:v>
                </c:pt>
                <c:pt idx="8">
                  <c:v>37921</c:v>
                </c:pt>
                <c:pt idx="9">
                  <c:v>34750</c:v>
                </c:pt>
                <c:pt idx="10">
                  <c:v>31516</c:v>
                </c:pt>
                <c:pt idx="11">
                  <c:v>30191</c:v>
                </c:pt>
                <c:pt idx="12">
                  <c:v>28536</c:v>
                </c:pt>
                <c:pt idx="13">
                  <c:v>21182</c:v>
                </c:pt>
                <c:pt idx="14">
                  <c:v>18897</c:v>
                </c:pt>
                <c:pt idx="15">
                  <c:v>11341</c:v>
                </c:pt>
                <c:pt idx="16">
                  <c:v>7783</c:v>
                </c:pt>
                <c:pt idx="17">
                  <c:v>7752</c:v>
                </c:pt>
                <c:pt idx="18">
                  <c:v>6907</c:v>
                </c:pt>
                <c:pt idx="19">
                  <c:v>6873</c:v>
                </c:pt>
                <c:pt idx="20">
                  <c:v>5222</c:v>
                </c:pt>
                <c:pt idx="21">
                  <c:v>4479</c:v>
                </c:pt>
                <c:pt idx="22">
                  <c:v>3215</c:v>
                </c:pt>
                <c:pt idx="23">
                  <c:v>2629</c:v>
                </c:pt>
                <c:pt idx="24">
                  <c:v>1331</c:v>
                </c:pt>
                <c:pt idx="25">
                  <c:v>889</c:v>
                </c:pt>
                <c:pt idx="26">
                  <c:v>420</c:v>
                </c:pt>
                <c:pt idx="27">
                  <c:v>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3A-4DED-92AA-641470B4C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6"/>
        <c:axId val="781997151"/>
        <c:axId val="781995231"/>
      </c:barChart>
      <c:catAx>
        <c:axId val="781997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81995231"/>
        <c:crosses val="autoZero"/>
        <c:auto val="1"/>
        <c:lblAlgn val="ctr"/>
        <c:lblOffset val="100"/>
        <c:noMultiLvlLbl val="0"/>
      </c:catAx>
      <c:valAx>
        <c:axId val="781995231"/>
        <c:scaling>
          <c:orientation val="minMax"/>
          <c:max val="1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81997151"/>
        <c:crosses val="autoZero"/>
        <c:crossBetween val="between"/>
        <c:majorUnit val="5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18</xdr:col>
      <xdr:colOff>0</xdr:colOff>
      <xdr:row>36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24C0CAF-4F79-2917-33EC-DE4B082A4B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0.30681</cdr:x>
      <cdr:y>0.39611</cdr:y>
    </cdr:from>
    <cdr:to>
      <cdr:x>0.4806</cdr:x>
      <cdr:y>0.49464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CEEF0F1F-53A7-07D6-6365-931A4F36D234}"/>
            </a:ext>
          </a:extLst>
        </cdr:cNvPr>
        <cdr:cNvSpPr txBox="1"/>
      </cdr:nvSpPr>
      <cdr:spPr>
        <a:xfrm xmlns:a="http://schemas.openxmlformats.org/drawingml/2006/main">
          <a:off x="2071231" y="2641086"/>
          <a:ext cx="1173223" cy="6569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ES" sz="1100" kern="1200">
              <a:solidFill>
                <a:srgbClr val="C00000"/>
              </a:solidFill>
            </a:rPr>
            <a:t>Clarke usa 8,5 veces</a:t>
          </a:r>
          <a:r>
            <a:rPr lang="es-ES" sz="1100" kern="1200" baseline="0">
              <a:solidFill>
                <a:srgbClr val="C00000"/>
              </a:solidFill>
            </a:rPr>
            <a:t> más la 'k'</a:t>
          </a:r>
        </a:p>
        <a:p xmlns:a="http://schemas.openxmlformats.org/drawingml/2006/main">
          <a:r>
            <a:rPr lang="es-ES" sz="1100" kern="1200" baseline="0">
              <a:solidFill>
                <a:srgbClr val="C00000"/>
              </a:solidFill>
            </a:rPr>
            <a:t>("kilómetros")</a:t>
          </a:r>
          <a:endParaRPr lang="es-ES" sz="1100" kern="1200">
            <a:solidFill>
              <a:srgbClr val="C00000"/>
            </a:solidFill>
          </a:endParaRPr>
        </a:p>
      </cdr:txBody>
    </cdr:sp>
  </cdr:relSizeAnchor>
  <cdr:relSizeAnchor xmlns:cdr="http://schemas.openxmlformats.org/drawingml/2006/chartDrawing">
    <cdr:from>
      <cdr:x>0.45916</cdr:x>
      <cdr:y>0.76961</cdr:y>
    </cdr:from>
    <cdr:to>
      <cdr:x>0.62393</cdr:x>
      <cdr:y>0.86814</cdr:y>
    </cdr:to>
    <cdr:sp macro="" textlink="">
      <cdr:nvSpPr>
        <cdr:cNvPr id="3" name="CuadroTexto 1">
          <a:extLst xmlns:a="http://schemas.openxmlformats.org/drawingml/2006/main">
            <a:ext uri="{FF2B5EF4-FFF2-40B4-BE49-F238E27FC236}">
              <a16:creationId xmlns:a16="http://schemas.microsoft.com/office/drawing/2014/main" id="{61F54E17-0A8A-7CE5-3BAD-C6DC826CD66D}"/>
            </a:ext>
          </a:extLst>
        </cdr:cNvPr>
        <cdr:cNvSpPr txBox="1"/>
      </cdr:nvSpPr>
      <cdr:spPr>
        <a:xfrm xmlns:a="http://schemas.openxmlformats.org/drawingml/2006/main">
          <a:off x="3070225" y="4984750"/>
          <a:ext cx="1101725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ES" sz="1100" kern="1200">
              <a:solidFill>
                <a:srgbClr val="C00000"/>
              </a:solidFill>
            </a:rPr>
            <a:t>Asimov usa</a:t>
          </a:r>
          <a:r>
            <a:rPr lang="es-ES" sz="1100" kern="1200" baseline="0">
              <a:solidFill>
                <a:srgbClr val="C00000"/>
              </a:solidFill>
            </a:rPr>
            <a:t> 3,3 veces más números</a:t>
          </a:r>
          <a:endParaRPr lang="es-ES" sz="1100" kern="1200">
            <a:solidFill>
              <a:srgbClr val="C00000"/>
            </a:solidFill>
          </a:endParaRPr>
        </a:p>
      </cdr:txBody>
    </cdr:sp>
  </cdr:relSizeAnchor>
  <cdr:relSizeAnchor xmlns:cdr="http://schemas.openxmlformats.org/drawingml/2006/chartDrawing">
    <cdr:from>
      <cdr:x>0.2906</cdr:x>
      <cdr:y>0.60882</cdr:y>
    </cdr:from>
    <cdr:to>
      <cdr:x>0.50285</cdr:x>
      <cdr:y>0.79412</cdr:y>
    </cdr:to>
    <cdr:sp macro="" textlink="">
      <cdr:nvSpPr>
        <cdr:cNvPr id="4" name="Elipse 3">
          <a:extLst xmlns:a="http://schemas.openxmlformats.org/drawingml/2006/main">
            <a:ext uri="{FF2B5EF4-FFF2-40B4-BE49-F238E27FC236}">
              <a16:creationId xmlns:a16="http://schemas.microsoft.com/office/drawing/2014/main" id="{67F30CF4-323F-B702-66EC-76D187668AFF}"/>
            </a:ext>
          </a:extLst>
        </cdr:cNvPr>
        <cdr:cNvSpPr/>
      </cdr:nvSpPr>
      <cdr:spPr>
        <a:xfrm xmlns:a="http://schemas.openxmlformats.org/drawingml/2006/main">
          <a:off x="1943100" y="3943350"/>
          <a:ext cx="1419225" cy="120015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chemeClr val="tx1">
              <a:alpha val="21000"/>
            </a:schemeClr>
          </a:solidFill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 kern="1200"/>
        </a:p>
      </cdr:txBody>
    </cdr:sp>
  </cdr:relSizeAnchor>
  <cdr:relSizeAnchor xmlns:cdr="http://schemas.openxmlformats.org/drawingml/2006/chartDrawing">
    <cdr:from>
      <cdr:x>0.55854</cdr:x>
      <cdr:y>0.59639</cdr:y>
    </cdr:from>
    <cdr:to>
      <cdr:x>0.73233</cdr:x>
      <cdr:y>0.69492</cdr:y>
    </cdr:to>
    <cdr:sp macro="" textlink="">
      <cdr:nvSpPr>
        <cdr:cNvPr id="5" name="CuadroTexto 1">
          <a:extLst xmlns:a="http://schemas.openxmlformats.org/drawingml/2006/main">
            <a:ext uri="{FF2B5EF4-FFF2-40B4-BE49-F238E27FC236}">
              <a16:creationId xmlns:a16="http://schemas.microsoft.com/office/drawing/2014/main" id="{56AB6BD6-F36D-5EAA-A6BA-8C69A119115F}"/>
            </a:ext>
          </a:extLst>
        </cdr:cNvPr>
        <cdr:cNvSpPr txBox="1"/>
      </cdr:nvSpPr>
      <cdr:spPr>
        <a:xfrm xmlns:a="http://schemas.openxmlformats.org/drawingml/2006/main">
          <a:off x="3770618" y="3976455"/>
          <a:ext cx="1173224" cy="6569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ES" sz="1100" kern="1200">
              <a:solidFill>
                <a:srgbClr val="C00000"/>
              </a:solidFill>
            </a:rPr>
            <a:t>Asimov usa 10,9 veces</a:t>
          </a:r>
          <a:r>
            <a:rPr lang="es-ES" sz="1100" kern="1200" baseline="0">
              <a:solidFill>
                <a:srgbClr val="C00000"/>
              </a:solidFill>
            </a:rPr>
            <a:t> más la 'w'</a:t>
          </a:r>
        </a:p>
        <a:p xmlns:a="http://schemas.openxmlformats.org/drawingml/2006/main">
          <a:r>
            <a:rPr lang="es-ES" sz="1100" kern="1200" baseline="0">
              <a:solidFill>
                <a:srgbClr val="C00000"/>
              </a:solidFill>
            </a:rPr>
            <a:t>("Twissell")</a:t>
          </a:r>
          <a:endParaRPr lang="es-ES" sz="1100" kern="1200">
            <a:solidFill>
              <a:srgbClr val="C00000"/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761999</xdr:colOff>
      <xdr:row>1</xdr:row>
      <xdr:rowOff>0</xdr:rowOff>
    </xdr:from>
    <xdr:to>
      <xdr:col>11</xdr:col>
      <xdr:colOff>761999</xdr:colOff>
      <xdr:row>20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8CE2B70-050D-F1FA-F9F2-7C5DD1E856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13</xdr:col>
      <xdr:colOff>10803</xdr:colOff>
      <xdr:row>18</xdr:row>
      <xdr:rowOff>76636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1C2C44C-466D-474F-A972-B5D871818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381000"/>
          <a:ext cx="9154803" cy="31246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EB37B-26F3-4A62-92CE-D14943B000B3}">
  <sheetPr codeName="Hoja2"/>
  <dimension ref="C1:BJ13"/>
  <sheetViews>
    <sheetView showGridLines="0" tabSelected="1" zoomScaleNormal="100" workbookViewId="0"/>
  </sheetViews>
  <sheetFormatPr baseColWidth="10" defaultColWidth="2.140625" defaultRowHeight="42.75" customHeight="1" x14ac:dyDescent="0.35"/>
  <cols>
    <col min="1" max="16384" width="2.140625" style="1"/>
  </cols>
  <sheetData>
    <row r="1" spans="3:62" ht="42.75" customHeight="1" x14ac:dyDescent="0.35">
      <c r="C1" s="12" t="s">
        <v>27</v>
      </c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</row>
    <row r="2" spans="3:62" ht="42.75" customHeight="1" x14ac:dyDescent="0.35">
      <c r="C2" s="16"/>
      <c r="D2" s="14"/>
      <c r="E2" s="14"/>
      <c r="F2" s="15"/>
      <c r="G2" s="36">
        <v>1</v>
      </c>
      <c r="H2" s="14"/>
      <c r="I2" s="14"/>
      <c r="J2" s="15"/>
      <c r="K2" s="58">
        <v>2</v>
      </c>
      <c r="L2" s="14"/>
      <c r="M2" s="14"/>
      <c r="N2" s="15"/>
      <c r="O2" s="36">
        <v>3</v>
      </c>
      <c r="P2" s="14"/>
      <c r="Q2" s="14"/>
      <c r="R2" s="15"/>
      <c r="S2" s="58">
        <v>4</v>
      </c>
      <c r="T2" s="14"/>
      <c r="U2" s="14"/>
      <c r="V2" s="15"/>
      <c r="W2" s="58">
        <v>5</v>
      </c>
      <c r="X2" s="14"/>
      <c r="Y2" s="14"/>
      <c r="Z2" s="15"/>
      <c r="AA2" s="36">
        <v>6</v>
      </c>
      <c r="AB2" s="14"/>
      <c r="AC2" s="14"/>
      <c r="AD2" s="15"/>
      <c r="AE2" s="36">
        <v>7</v>
      </c>
      <c r="AF2" s="14"/>
      <c r="AG2" s="14"/>
      <c r="AH2" s="15"/>
      <c r="AI2" s="36">
        <v>8</v>
      </c>
      <c r="AJ2" s="14"/>
      <c r="AK2" s="14"/>
      <c r="AL2" s="15"/>
      <c r="AM2" s="58">
        <v>9</v>
      </c>
      <c r="AN2" s="14"/>
      <c r="AO2" s="14"/>
      <c r="AP2" s="15"/>
      <c r="AQ2" s="58">
        <v>0</v>
      </c>
      <c r="AR2" s="14"/>
      <c r="AS2" s="14"/>
      <c r="AT2" s="15"/>
      <c r="AU2" s="16"/>
      <c r="AV2" s="14"/>
      <c r="AW2" s="14"/>
      <c r="AX2" s="15"/>
      <c r="AY2" s="16"/>
      <c r="AZ2" s="14"/>
      <c r="BA2" s="14"/>
      <c r="BB2" s="15"/>
      <c r="BC2" s="49"/>
      <c r="BD2" s="50"/>
      <c r="BE2" s="50"/>
      <c r="BF2" s="50"/>
      <c r="BG2" s="50"/>
      <c r="BH2" s="50"/>
      <c r="BI2" s="50"/>
      <c r="BJ2" s="51"/>
    </row>
    <row r="3" spans="3:62" ht="42.75" customHeight="1" x14ac:dyDescent="0.35">
      <c r="C3" s="9"/>
      <c r="D3" s="10"/>
      <c r="E3" s="10"/>
      <c r="F3" s="10"/>
      <c r="G3" s="10"/>
      <c r="H3" s="11"/>
      <c r="I3" s="16"/>
      <c r="J3" s="14"/>
      <c r="K3" s="14"/>
      <c r="L3" s="15"/>
      <c r="M3" s="16"/>
      <c r="N3" s="14"/>
      <c r="O3" s="14"/>
      <c r="P3" s="15"/>
      <c r="Q3" s="38" t="s">
        <v>19</v>
      </c>
      <c r="R3" s="14"/>
      <c r="S3" s="14"/>
      <c r="T3" s="15"/>
      <c r="U3" s="45" t="s">
        <v>20</v>
      </c>
      <c r="V3" s="14"/>
      <c r="W3" s="14"/>
      <c r="X3" s="15"/>
      <c r="Y3" s="56" t="s">
        <v>21</v>
      </c>
      <c r="Z3" s="14"/>
      <c r="AA3" s="14"/>
      <c r="AB3" s="15"/>
      <c r="AC3" s="41" t="s">
        <v>22</v>
      </c>
      <c r="AD3" s="14"/>
      <c r="AE3" s="14"/>
      <c r="AF3" s="15"/>
      <c r="AG3" s="42" t="s">
        <v>23</v>
      </c>
      <c r="AH3" s="14"/>
      <c r="AI3" s="14"/>
      <c r="AJ3" s="15"/>
      <c r="AK3" s="30" t="s">
        <v>24</v>
      </c>
      <c r="AL3" s="14"/>
      <c r="AM3" s="14"/>
      <c r="AN3" s="15"/>
      <c r="AO3" s="34" t="s">
        <v>25</v>
      </c>
      <c r="AP3" s="14"/>
      <c r="AQ3" s="14"/>
      <c r="AR3" s="15"/>
      <c r="AS3" s="37" t="s">
        <v>26</v>
      </c>
      <c r="AT3" s="14"/>
      <c r="AU3" s="14"/>
      <c r="AV3" s="15"/>
      <c r="AW3" s="16"/>
      <c r="AX3" s="14"/>
      <c r="AY3" s="14"/>
      <c r="AZ3" s="15"/>
      <c r="BA3" s="16"/>
      <c r="BB3" s="14"/>
      <c r="BC3" s="14"/>
      <c r="BD3" s="15"/>
      <c r="BE3" s="46"/>
      <c r="BF3" s="47"/>
      <c r="BG3" s="47"/>
      <c r="BH3" s="47"/>
      <c r="BI3" s="47"/>
      <c r="BJ3" s="48"/>
    </row>
    <row r="4" spans="3:62" ht="42.75" customHeight="1" x14ac:dyDescent="0.35">
      <c r="C4" s="9"/>
      <c r="D4" s="10"/>
      <c r="E4" s="10"/>
      <c r="F4" s="10"/>
      <c r="G4" s="10"/>
      <c r="H4" s="10"/>
      <c r="I4" s="11"/>
      <c r="J4" s="39" t="s">
        <v>0</v>
      </c>
      <c r="K4" s="14"/>
      <c r="L4" s="14"/>
      <c r="M4" s="15"/>
      <c r="N4" s="44" t="s">
        <v>10</v>
      </c>
      <c r="O4" s="14"/>
      <c r="P4" s="14"/>
      <c r="Q4" s="15"/>
      <c r="R4" s="53" t="s">
        <v>11</v>
      </c>
      <c r="S4" s="14"/>
      <c r="T4" s="14"/>
      <c r="U4" s="15"/>
      <c r="V4" s="57" t="s">
        <v>12</v>
      </c>
      <c r="W4" s="14"/>
      <c r="X4" s="14"/>
      <c r="Y4" s="15"/>
      <c r="Z4" s="43" t="s">
        <v>13</v>
      </c>
      <c r="AA4" s="14"/>
      <c r="AB4" s="14"/>
      <c r="AC4" s="15"/>
      <c r="AD4" s="40" t="s">
        <v>14</v>
      </c>
      <c r="AE4" s="14"/>
      <c r="AF4" s="14"/>
      <c r="AG4" s="15"/>
      <c r="AH4" s="54" t="s">
        <v>15</v>
      </c>
      <c r="AI4" s="14"/>
      <c r="AJ4" s="14"/>
      <c r="AK4" s="15"/>
      <c r="AL4" s="55" t="s">
        <v>16</v>
      </c>
      <c r="AM4" s="14"/>
      <c r="AN4" s="14"/>
      <c r="AO4" s="15"/>
      <c r="AP4" s="33" t="s">
        <v>17</v>
      </c>
      <c r="AQ4" s="14"/>
      <c r="AR4" s="14"/>
      <c r="AS4" s="15"/>
      <c r="AT4" s="33" t="s">
        <v>18</v>
      </c>
      <c r="AU4" s="14"/>
      <c r="AV4" s="14"/>
      <c r="AW4" s="15"/>
      <c r="AX4" s="16"/>
      <c r="AY4" s="14"/>
      <c r="AZ4" s="21"/>
      <c r="BA4" s="22"/>
      <c r="BB4" s="20"/>
      <c r="BC4" s="21"/>
      <c r="BD4" s="21"/>
      <c r="BE4" s="22"/>
      <c r="BF4" s="23"/>
      <c r="BG4" s="24"/>
      <c r="BH4" s="24"/>
      <c r="BI4" s="24"/>
      <c r="BJ4" s="25"/>
    </row>
    <row r="5" spans="3:62" ht="42.75" customHeight="1" x14ac:dyDescent="0.35">
      <c r="C5" s="9"/>
      <c r="D5" s="10"/>
      <c r="E5" s="10"/>
      <c r="F5" s="10"/>
      <c r="G5" s="11"/>
      <c r="H5" s="26"/>
      <c r="I5" s="27"/>
      <c r="J5" s="14"/>
      <c r="K5" s="15"/>
      <c r="L5" s="16"/>
      <c r="M5" s="14"/>
      <c r="N5" s="14"/>
      <c r="O5" s="15"/>
      <c r="P5" s="42" t="s">
        <v>3</v>
      </c>
      <c r="Q5" s="14"/>
      <c r="R5" s="14"/>
      <c r="S5" s="15"/>
      <c r="T5" s="35" t="s">
        <v>4</v>
      </c>
      <c r="U5" s="14"/>
      <c r="V5" s="14"/>
      <c r="W5" s="15"/>
      <c r="X5" s="36" t="s">
        <v>5</v>
      </c>
      <c r="Y5" s="14"/>
      <c r="Z5" s="14"/>
      <c r="AA5" s="15"/>
      <c r="AB5" s="29" t="s">
        <v>6</v>
      </c>
      <c r="AC5" s="14"/>
      <c r="AD5" s="14"/>
      <c r="AE5" s="15"/>
      <c r="AF5" s="32" t="s">
        <v>1</v>
      </c>
      <c r="AG5" s="14"/>
      <c r="AH5" s="14"/>
      <c r="AI5" s="15"/>
      <c r="AJ5" s="13" t="s">
        <v>7</v>
      </c>
      <c r="AK5" s="14"/>
      <c r="AL5" s="14"/>
      <c r="AM5" s="15"/>
      <c r="AN5" s="52" t="s">
        <v>8</v>
      </c>
      <c r="AO5" s="14"/>
      <c r="AP5" s="14"/>
      <c r="AQ5" s="15"/>
      <c r="AR5" s="31" t="s">
        <v>9</v>
      </c>
      <c r="AS5" s="14"/>
      <c r="AT5" s="14"/>
      <c r="AU5" s="15"/>
      <c r="AV5" s="28" t="s">
        <v>2</v>
      </c>
      <c r="AW5" s="14"/>
      <c r="AX5" s="14"/>
      <c r="AY5" s="15"/>
      <c r="AZ5" s="9"/>
      <c r="BA5" s="10"/>
      <c r="BB5" s="10"/>
      <c r="BC5" s="10"/>
      <c r="BD5" s="10"/>
      <c r="BE5" s="10"/>
      <c r="BF5" s="10"/>
      <c r="BG5" s="10"/>
      <c r="BH5" s="10"/>
      <c r="BI5" s="10"/>
      <c r="BJ5" s="11"/>
    </row>
    <row r="6" spans="3:62" ht="42.75" customHeight="1" x14ac:dyDescent="0.35">
      <c r="C6" s="9"/>
      <c r="D6" s="10"/>
      <c r="E6" s="10"/>
      <c r="F6" s="10"/>
      <c r="G6" s="10"/>
      <c r="H6" s="11"/>
      <c r="I6" s="9"/>
      <c r="J6" s="10"/>
      <c r="K6" s="10"/>
      <c r="L6" s="11"/>
      <c r="M6" s="9"/>
      <c r="N6" s="10"/>
      <c r="O6" s="10"/>
      <c r="P6" s="10"/>
      <c r="Q6" s="10"/>
      <c r="R6" s="11"/>
      <c r="S6" s="17" t="s">
        <v>29</v>
      </c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9"/>
      <c r="AQ6" s="9"/>
      <c r="AR6" s="10"/>
      <c r="AS6" s="10"/>
      <c r="AT6" s="10"/>
      <c r="AU6" s="10"/>
      <c r="AV6" s="11"/>
      <c r="AW6" s="9"/>
      <c r="AX6" s="10"/>
      <c r="AY6" s="10"/>
      <c r="AZ6" s="11"/>
      <c r="BA6" s="9"/>
      <c r="BB6" s="10"/>
      <c r="BC6" s="10"/>
      <c r="BD6" s="11"/>
      <c r="BE6" s="9"/>
      <c r="BF6" s="10"/>
      <c r="BG6" s="10"/>
      <c r="BH6" s="10"/>
      <c r="BI6" s="10"/>
      <c r="BJ6" s="11"/>
    </row>
    <row r="8" spans="3:62" ht="42.75" customHeight="1" x14ac:dyDescent="0.35">
      <c r="C8" s="12" t="s">
        <v>28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</row>
    <row r="9" spans="3:62" ht="42.75" customHeight="1" x14ac:dyDescent="0.35">
      <c r="C9" s="16"/>
      <c r="D9" s="14"/>
      <c r="E9" s="14"/>
      <c r="F9" s="15"/>
      <c r="G9" s="36">
        <v>1</v>
      </c>
      <c r="H9" s="14"/>
      <c r="I9" s="14"/>
      <c r="J9" s="15"/>
      <c r="K9" s="58">
        <v>2</v>
      </c>
      <c r="L9" s="14"/>
      <c r="M9" s="14"/>
      <c r="N9" s="15"/>
      <c r="O9" s="36">
        <v>3</v>
      </c>
      <c r="P9" s="14"/>
      <c r="Q9" s="14"/>
      <c r="R9" s="15"/>
      <c r="S9" s="58">
        <v>4</v>
      </c>
      <c r="T9" s="14"/>
      <c r="U9" s="14"/>
      <c r="V9" s="15"/>
      <c r="W9" s="58">
        <v>5</v>
      </c>
      <c r="X9" s="14"/>
      <c r="Y9" s="14"/>
      <c r="Z9" s="15"/>
      <c r="AA9" s="36">
        <v>6</v>
      </c>
      <c r="AB9" s="14"/>
      <c r="AC9" s="14"/>
      <c r="AD9" s="15"/>
      <c r="AE9" s="36">
        <v>7</v>
      </c>
      <c r="AF9" s="14"/>
      <c r="AG9" s="14"/>
      <c r="AH9" s="15"/>
      <c r="AI9" s="36">
        <v>8</v>
      </c>
      <c r="AJ9" s="14"/>
      <c r="AK9" s="14"/>
      <c r="AL9" s="15"/>
      <c r="AM9" s="58">
        <v>9</v>
      </c>
      <c r="AN9" s="14"/>
      <c r="AO9" s="14"/>
      <c r="AP9" s="15"/>
      <c r="AQ9" s="58">
        <v>0</v>
      </c>
      <c r="AR9" s="14"/>
      <c r="AS9" s="14"/>
      <c r="AT9" s="15"/>
      <c r="AU9" s="16"/>
      <c r="AV9" s="14"/>
      <c r="AW9" s="14"/>
      <c r="AX9" s="15"/>
      <c r="AY9" s="16"/>
      <c r="AZ9" s="14"/>
      <c r="BA9" s="14"/>
      <c r="BB9" s="15"/>
      <c r="BC9" s="49"/>
      <c r="BD9" s="50"/>
      <c r="BE9" s="50"/>
      <c r="BF9" s="50"/>
      <c r="BG9" s="50"/>
      <c r="BH9" s="50"/>
      <c r="BI9" s="50"/>
      <c r="BJ9" s="51"/>
    </row>
    <row r="10" spans="3:62" ht="42.75" customHeight="1" x14ac:dyDescent="0.35">
      <c r="C10" s="9"/>
      <c r="D10" s="10"/>
      <c r="E10" s="10"/>
      <c r="F10" s="10"/>
      <c r="G10" s="10"/>
      <c r="H10" s="11"/>
      <c r="I10" s="42" t="s">
        <v>3</v>
      </c>
      <c r="J10" s="14"/>
      <c r="K10" s="14"/>
      <c r="L10" s="15"/>
      <c r="M10" s="52" t="s">
        <v>8</v>
      </c>
      <c r="N10" s="14"/>
      <c r="O10" s="14"/>
      <c r="P10" s="15"/>
      <c r="Q10" s="53" t="s">
        <v>11</v>
      </c>
      <c r="R10" s="14"/>
      <c r="S10" s="14"/>
      <c r="T10" s="15"/>
      <c r="U10" s="54" t="s">
        <v>15</v>
      </c>
      <c r="V10" s="14"/>
      <c r="W10" s="14"/>
      <c r="X10" s="15"/>
      <c r="Y10" s="55" t="s">
        <v>16</v>
      </c>
      <c r="Z10" s="14"/>
      <c r="AA10" s="14"/>
      <c r="AB10" s="15"/>
      <c r="AC10" s="56" t="s">
        <v>21</v>
      </c>
      <c r="AD10" s="14"/>
      <c r="AE10" s="14"/>
      <c r="AF10" s="15"/>
      <c r="AG10" s="57" t="s">
        <v>12</v>
      </c>
      <c r="AH10" s="14"/>
      <c r="AI10" s="14"/>
      <c r="AJ10" s="15"/>
      <c r="AK10" s="43" t="s">
        <v>13</v>
      </c>
      <c r="AL10" s="14"/>
      <c r="AM10" s="14"/>
      <c r="AN10" s="15"/>
      <c r="AO10" s="44" t="s">
        <v>10</v>
      </c>
      <c r="AP10" s="14"/>
      <c r="AQ10" s="14"/>
      <c r="AR10" s="15"/>
      <c r="AS10" s="45" t="s">
        <v>20</v>
      </c>
      <c r="AT10" s="14"/>
      <c r="AU10" s="14"/>
      <c r="AV10" s="15"/>
      <c r="AW10" s="16"/>
      <c r="AX10" s="14"/>
      <c r="AY10" s="14"/>
      <c r="AZ10" s="15"/>
      <c r="BA10" s="16"/>
      <c r="BB10" s="14"/>
      <c r="BC10" s="14"/>
      <c r="BD10" s="15"/>
      <c r="BE10" s="46"/>
      <c r="BF10" s="47"/>
      <c r="BG10" s="47"/>
      <c r="BH10" s="47"/>
      <c r="BI10" s="47"/>
      <c r="BJ10" s="48"/>
    </row>
    <row r="11" spans="3:62" ht="42.75" customHeight="1" x14ac:dyDescent="0.35">
      <c r="C11" s="9"/>
      <c r="D11" s="10"/>
      <c r="E11" s="10"/>
      <c r="F11" s="10"/>
      <c r="G11" s="10"/>
      <c r="H11" s="10"/>
      <c r="I11" s="11"/>
      <c r="J11" s="39" t="s">
        <v>0</v>
      </c>
      <c r="K11" s="14"/>
      <c r="L11" s="14"/>
      <c r="M11" s="15"/>
      <c r="N11" s="33" t="s">
        <v>18</v>
      </c>
      <c r="O11" s="14"/>
      <c r="P11" s="14"/>
      <c r="Q11" s="15"/>
      <c r="R11" s="40" t="s">
        <v>14</v>
      </c>
      <c r="S11" s="14"/>
      <c r="T11" s="14"/>
      <c r="U11" s="15"/>
      <c r="V11" s="41" t="s">
        <v>22</v>
      </c>
      <c r="W11" s="14"/>
      <c r="X11" s="14"/>
      <c r="Y11" s="15"/>
      <c r="Z11" s="42" t="s">
        <v>23</v>
      </c>
      <c r="AA11" s="14"/>
      <c r="AB11" s="14"/>
      <c r="AC11" s="15"/>
      <c r="AD11" s="34" t="s">
        <v>25</v>
      </c>
      <c r="AE11" s="14"/>
      <c r="AF11" s="14"/>
      <c r="AG11" s="15"/>
      <c r="AH11" s="35" t="s">
        <v>4</v>
      </c>
      <c r="AI11" s="14"/>
      <c r="AJ11" s="14"/>
      <c r="AK11" s="15"/>
      <c r="AL11" s="36" t="s">
        <v>5</v>
      </c>
      <c r="AM11" s="14"/>
      <c r="AN11" s="14"/>
      <c r="AO11" s="15"/>
      <c r="AP11" s="37" t="s">
        <v>26</v>
      </c>
      <c r="AQ11" s="14"/>
      <c r="AR11" s="14"/>
      <c r="AS11" s="15"/>
      <c r="AT11" s="38" t="s">
        <v>19</v>
      </c>
      <c r="AU11" s="14"/>
      <c r="AV11" s="14"/>
      <c r="AW11" s="15"/>
      <c r="AX11" s="16"/>
      <c r="AY11" s="14"/>
      <c r="AZ11" s="21"/>
      <c r="BA11" s="22"/>
      <c r="BB11" s="20"/>
      <c r="BC11" s="21"/>
      <c r="BD11" s="21"/>
      <c r="BE11" s="22"/>
      <c r="BF11" s="23"/>
      <c r="BG11" s="24"/>
      <c r="BH11" s="24"/>
      <c r="BI11" s="24"/>
      <c r="BJ11" s="25"/>
    </row>
    <row r="12" spans="3:62" ht="42.75" customHeight="1" x14ac:dyDescent="0.35">
      <c r="C12" s="9"/>
      <c r="D12" s="10"/>
      <c r="E12" s="10"/>
      <c r="F12" s="10"/>
      <c r="G12" s="11"/>
      <c r="H12" s="26"/>
      <c r="I12" s="27"/>
      <c r="J12" s="14"/>
      <c r="K12" s="15"/>
      <c r="L12" s="28" t="s">
        <v>2</v>
      </c>
      <c r="M12" s="14"/>
      <c r="N12" s="14"/>
      <c r="O12" s="15"/>
      <c r="P12" s="29" t="s">
        <v>6</v>
      </c>
      <c r="Q12" s="14"/>
      <c r="R12" s="14"/>
      <c r="S12" s="15"/>
      <c r="T12" s="30" t="s">
        <v>24</v>
      </c>
      <c r="U12" s="14"/>
      <c r="V12" s="14"/>
      <c r="W12" s="15"/>
      <c r="X12" s="31" t="s">
        <v>9</v>
      </c>
      <c r="Y12" s="14"/>
      <c r="Z12" s="14"/>
      <c r="AA12" s="15"/>
      <c r="AB12" s="32" t="s">
        <v>1</v>
      </c>
      <c r="AC12" s="14"/>
      <c r="AD12" s="14"/>
      <c r="AE12" s="15"/>
      <c r="AF12" s="33" t="s">
        <v>17</v>
      </c>
      <c r="AG12" s="14"/>
      <c r="AH12" s="14"/>
      <c r="AI12" s="15"/>
      <c r="AJ12" s="13" t="s">
        <v>7</v>
      </c>
      <c r="AK12" s="14"/>
      <c r="AL12" s="14"/>
      <c r="AM12" s="15"/>
      <c r="AN12" s="16"/>
      <c r="AO12" s="14"/>
      <c r="AP12" s="14"/>
      <c r="AQ12" s="15"/>
      <c r="AR12" s="16"/>
      <c r="AS12" s="14"/>
      <c r="AT12" s="14"/>
      <c r="AU12" s="15"/>
      <c r="AV12" s="16"/>
      <c r="AW12" s="14"/>
      <c r="AX12" s="14"/>
      <c r="AY12" s="15"/>
      <c r="AZ12" s="9"/>
      <c r="BA12" s="10"/>
      <c r="BB12" s="10"/>
      <c r="BC12" s="10"/>
      <c r="BD12" s="10"/>
      <c r="BE12" s="10"/>
      <c r="BF12" s="10"/>
      <c r="BG12" s="10"/>
      <c r="BH12" s="10"/>
      <c r="BI12" s="10"/>
      <c r="BJ12" s="11"/>
    </row>
    <row r="13" spans="3:62" ht="42.75" customHeight="1" x14ac:dyDescent="0.35">
      <c r="C13" s="9"/>
      <c r="D13" s="10"/>
      <c r="E13" s="10"/>
      <c r="F13" s="10"/>
      <c r="G13" s="10"/>
      <c r="H13" s="11"/>
      <c r="I13" s="9"/>
      <c r="J13" s="10"/>
      <c r="K13" s="10"/>
      <c r="L13" s="11"/>
      <c r="M13" s="9"/>
      <c r="N13" s="10"/>
      <c r="O13" s="10"/>
      <c r="P13" s="10"/>
      <c r="Q13" s="10"/>
      <c r="R13" s="11"/>
      <c r="S13" s="17" t="s">
        <v>29</v>
      </c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9"/>
      <c r="AQ13" s="9"/>
      <c r="AR13" s="10"/>
      <c r="AS13" s="10"/>
      <c r="AT13" s="10"/>
      <c r="AU13" s="10"/>
      <c r="AV13" s="11"/>
      <c r="AW13" s="9"/>
      <c r="AX13" s="10"/>
      <c r="AY13" s="10"/>
      <c r="AZ13" s="11"/>
      <c r="BA13" s="9"/>
      <c r="BB13" s="10"/>
      <c r="BC13" s="10"/>
      <c r="BD13" s="11"/>
      <c r="BE13" s="9"/>
      <c r="BF13" s="10"/>
      <c r="BG13" s="10"/>
      <c r="BH13" s="10"/>
      <c r="BI13" s="10"/>
      <c r="BJ13" s="11"/>
    </row>
  </sheetData>
  <mergeCells count="128">
    <mergeCell ref="H5:K5"/>
    <mergeCell ref="L5:O5"/>
    <mergeCell ref="P5:S5"/>
    <mergeCell ref="T5:W5"/>
    <mergeCell ref="X5:AA5"/>
    <mergeCell ref="AB5:AE5"/>
    <mergeCell ref="AF5:AI5"/>
    <mergeCell ref="AJ5:AM5"/>
    <mergeCell ref="AN5:AQ5"/>
    <mergeCell ref="J4:M4"/>
    <mergeCell ref="N4:Q4"/>
    <mergeCell ref="R4:U4"/>
    <mergeCell ref="V4:Y4"/>
    <mergeCell ref="Z4:AC4"/>
    <mergeCell ref="AD4:AG4"/>
    <mergeCell ref="AH4:AK4"/>
    <mergeCell ref="AL4:AO4"/>
    <mergeCell ref="AP4:AS4"/>
    <mergeCell ref="C3:H3"/>
    <mergeCell ref="C4:I4"/>
    <mergeCell ref="C5:G5"/>
    <mergeCell ref="AE2:AH2"/>
    <mergeCell ref="AI2:AL2"/>
    <mergeCell ref="AM2:AP2"/>
    <mergeCell ref="AQ2:AT2"/>
    <mergeCell ref="AU2:AX2"/>
    <mergeCell ref="AY2:BB2"/>
    <mergeCell ref="AO3:AR3"/>
    <mergeCell ref="AS3:AV3"/>
    <mergeCell ref="AW3:AZ3"/>
    <mergeCell ref="C2:F2"/>
    <mergeCell ref="G2:J2"/>
    <mergeCell ref="K2:N2"/>
    <mergeCell ref="O2:R2"/>
    <mergeCell ref="S2:V2"/>
    <mergeCell ref="W2:Z2"/>
    <mergeCell ref="AA2:AD2"/>
    <mergeCell ref="AT4:AW4"/>
    <mergeCell ref="AX4:BA4"/>
    <mergeCell ref="I3:L3"/>
    <mergeCell ref="M3:P3"/>
    <mergeCell ref="Q3:T3"/>
    <mergeCell ref="BA6:BD6"/>
    <mergeCell ref="BC2:BJ2"/>
    <mergeCell ref="BE3:BJ3"/>
    <mergeCell ref="BF4:BJ4"/>
    <mergeCell ref="AZ5:BJ5"/>
    <mergeCell ref="S6:AP6"/>
    <mergeCell ref="BE6:BJ6"/>
    <mergeCell ref="BB4:BE4"/>
    <mergeCell ref="BA3:BD3"/>
    <mergeCell ref="U3:X3"/>
    <mergeCell ref="Y3:AB3"/>
    <mergeCell ref="AC3:AF3"/>
    <mergeCell ref="AG3:AJ3"/>
    <mergeCell ref="AK3:AN3"/>
    <mergeCell ref="AR5:AU5"/>
    <mergeCell ref="AV5:AY5"/>
    <mergeCell ref="K9:N9"/>
    <mergeCell ref="O9:R9"/>
    <mergeCell ref="S9:V9"/>
    <mergeCell ref="W9:Z9"/>
    <mergeCell ref="C6:H6"/>
    <mergeCell ref="I6:L6"/>
    <mergeCell ref="M6:R6"/>
    <mergeCell ref="AQ6:AV6"/>
    <mergeCell ref="AW6:AZ6"/>
    <mergeCell ref="AK10:AN10"/>
    <mergeCell ref="AO10:AR10"/>
    <mergeCell ref="AS10:AV10"/>
    <mergeCell ref="AW10:AZ10"/>
    <mergeCell ref="BA10:BD10"/>
    <mergeCell ref="BE10:BJ10"/>
    <mergeCell ref="AY9:BB9"/>
    <mergeCell ref="BC9:BJ9"/>
    <mergeCell ref="C10:H10"/>
    <mergeCell ref="I10:L10"/>
    <mergeCell ref="M10:P10"/>
    <mergeCell ref="Q10:T10"/>
    <mergeCell ref="U10:X10"/>
    <mergeCell ref="Y10:AB10"/>
    <mergeCell ref="AC10:AF10"/>
    <mergeCell ref="AG10:AJ10"/>
    <mergeCell ref="AA9:AD9"/>
    <mergeCell ref="AE9:AH9"/>
    <mergeCell ref="AI9:AL9"/>
    <mergeCell ref="AM9:AP9"/>
    <mergeCell ref="AQ9:AT9"/>
    <mergeCell ref="AU9:AX9"/>
    <mergeCell ref="C9:F9"/>
    <mergeCell ref="G9:J9"/>
    <mergeCell ref="AF12:AI12"/>
    <mergeCell ref="AD11:AG11"/>
    <mergeCell ref="AH11:AK11"/>
    <mergeCell ref="AL11:AO11"/>
    <mergeCell ref="AP11:AS11"/>
    <mergeCell ref="AT11:AW11"/>
    <mergeCell ref="AX11:BA11"/>
    <mergeCell ref="C11:I11"/>
    <mergeCell ref="J11:M11"/>
    <mergeCell ref="N11:Q11"/>
    <mergeCell ref="R11:U11"/>
    <mergeCell ref="V11:Y11"/>
    <mergeCell ref="Z11:AC11"/>
    <mergeCell ref="AW13:AZ13"/>
    <mergeCell ref="BA13:BD13"/>
    <mergeCell ref="BE13:BJ13"/>
    <mergeCell ref="C1:BJ1"/>
    <mergeCell ref="C8:BJ8"/>
    <mergeCell ref="AJ12:AM12"/>
    <mergeCell ref="AN12:AQ12"/>
    <mergeCell ref="AR12:AU12"/>
    <mergeCell ref="AV12:AY12"/>
    <mergeCell ref="AZ12:BJ12"/>
    <mergeCell ref="C13:H13"/>
    <mergeCell ref="I13:L13"/>
    <mergeCell ref="M13:R13"/>
    <mergeCell ref="S13:AP13"/>
    <mergeCell ref="AQ13:AV13"/>
    <mergeCell ref="BB11:BE11"/>
    <mergeCell ref="BF11:BJ11"/>
    <mergeCell ref="C12:G12"/>
    <mergeCell ref="H12:K12"/>
    <mergeCell ref="L12:O12"/>
    <mergeCell ref="P12:S12"/>
    <mergeCell ref="T12:W12"/>
    <mergeCell ref="X12:AA12"/>
    <mergeCell ref="AB12:AE1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9B692-2852-46B2-8AF2-AF81E2437305}">
  <sheetPr codeName="Hoja4"/>
  <dimension ref="A1:I43"/>
  <sheetViews>
    <sheetView zoomScaleNormal="100" workbookViewId="0"/>
  </sheetViews>
  <sheetFormatPr baseColWidth="10" defaultRowHeight="15" x14ac:dyDescent="0.25"/>
  <cols>
    <col min="1" max="3" width="11.42578125" style="2"/>
    <col min="8" max="8" width="48" customWidth="1"/>
    <col min="18" max="18" width="9.85546875" customWidth="1"/>
  </cols>
  <sheetData>
    <row r="1" spans="1:8" s="4" customFormat="1" x14ac:dyDescent="0.25">
      <c r="A1" s="3" t="s">
        <v>59</v>
      </c>
      <c r="B1" s="3" t="s">
        <v>58</v>
      </c>
      <c r="C1" s="3" t="s">
        <v>57</v>
      </c>
      <c r="D1" s="3" t="s">
        <v>60</v>
      </c>
      <c r="F1" s="4" t="s">
        <v>62</v>
      </c>
      <c r="G1" s="4" t="s">
        <v>61</v>
      </c>
    </row>
    <row r="2" spans="1:8" x14ac:dyDescent="0.25">
      <c r="A2" s="2" t="s">
        <v>29</v>
      </c>
      <c r="B2" s="2">
        <v>68158</v>
      </c>
      <c r="C2" s="2">
        <v>0.16590357545353401</v>
      </c>
      <c r="D2" s="2">
        <v>1</v>
      </c>
      <c r="F2" s="8">
        <f>B2</f>
        <v>68158</v>
      </c>
      <c r="G2" s="8">
        <f>citaconrama!B2</f>
        <v>77012</v>
      </c>
      <c r="H2" s="6">
        <f t="shared" ref="H2:H12" si="0">(G2-F2)/F2</f>
        <v>0.1299040464802371</v>
      </c>
    </row>
    <row r="3" spans="1:8" x14ac:dyDescent="0.25">
      <c r="A3" s="2">
        <v>0</v>
      </c>
      <c r="B3" s="2">
        <v>112</v>
      </c>
      <c r="C3" s="2">
        <v>2.7261950835992603E-4</v>
      </c>
      <c r="D3" s="2">
        <v>1.64324070541976E-3</v>
      </c>
      <c r="F3" s="8">
        <f>B3</f>
        <v>112</v>
      </c>
      <c r="G3" s="8">
        <f>citaconrama!B3</f>
        <v>34</v>
      </c>
      <c r="H3" s="6">
        <f t="shared" si="0"/>
        <v>-0.6964285714285714</v>
      </c>
    </row>
    <row r="4" spans="1:8" x14ac:dyDescent="0.25">
      <c r="A4" s="2">
        <v>1</v>
      </c>
      <c r="B4" s="2">
        <v>53</v>
      </c>
      <c r="C4" s="2">
        <v>1.2900744592032201E-4</v>
      </c>
      <c r="D4" s="2">
        <v>7.7760497667185102E-4</v>
      </c>
      <c r="F4" s="8">
        <f>B4</f>
        <v>53</v>
      </c>
      <c r="G4" s="8">
        <f>citaconrama!B4</f>
        <v>39</v>
      </c>
      <c r="H4" s="6">
        <f t="shared" si="0"/>
        <v>-0.26415094339622641</v>
      </c>
    </row>
    <row r="5" spans="1:8" x14ac:dyDescent="0.25">
      <c r="A5" s="2">
        <v>2</v>
      </c>
      <c r="B5" s="2">
        <v>88</v>
      </c>
      <c r="C5" s="2">
        <v>2.14201042282799E-4</v>
      </c>
      <c r="D5" s="2">
        <v>1.2911176971155301E-3</v>
      </c>
      <c r="F5" s="8">
        <f>B5</f>
        <v>88</v>
      </c>
      <c r="G5" s="8">
        <f>citaconrama!B5</f>
        <v>26</v>
      </c>
      <c r="H5" s="6">
        <f t="shared" si="0"/>
        <v>-0.70454545454545459</v>
      </c>
    </row>
    <row r="6" spans="1:8" x14ac:dyDescent="0.25">
      <c r="A6" s="2">
        <v>3</v>
      </c>
      <c r="B6" s="2">
        <v>14</v>
      </c>
      <c r="C6" s="5">
        <v>3.4077438544990699E-5</v>
      </c>
      <c r="D6" s="2">
        <v>2.0540508817746999E-4</v>
      </c>
      <c r="F6" s="8">
        <f>B6</f>
        <v>14</v>
      </c>
      <c r="G6" s="8">
        <f>citaconrama!B6</f>
        <v>20</v>
      </c>
      <c r="H6" s="6">
        <f t="shared" si="0"/>
        <v>0.42857142857142855</v>
      </c>
    </row>
    <row r="7" spans="1:8" x14ac:dyDescent="0.25">
      <c r="A7" s="2">
        <v>4</v>
      </c>
      <c r="B7" s="2">
        <v>71</v>
      </c>
      <c r="C7" s="2">
        <v>1.72821295478167E-4</v>
      </c>
      <c r="D7" s="2">
        <v>1.0416972329000301E-3</v>
      </c>
      <c r="F7" s="8">
        <f>B7</f>
        <v>71</v>
      </c>
      <c r="G7" s="8">
        <f>citaconrama!B7</f>
        <v>17</v>
      </c>
      <c r="H7" s="6">
        <f t="shared" si="0"/>
        <v>-0.76056338028169013</v>
      </c>
    </row>
    <row r="8" spans="1:8" x14ac:dyDescent="0.25">
      <c r="A8" s="2">
        <v>5</v>
      </c>
      <c r="B8" s="2">
        <v>72</v>
      </c>
      <c r="C8" s="2">
        <v>1.7525539823138101E-4</v>
      </c>
      <c r="D8" s="2">
        <v>1.0563690249127001E-3</v>
      </c>
      <c r="F8" s="8">
        <f>B8</f>
        <v>72</v>
      </c>
      <c r="G8" s="8">
        <f>citaconrama!B8</f>
        <v>9</v>
      </c>
      <c r="H8" s="6">
        <f t="shared" si="0"/>
        <v>-0.875</v>
      </c>
    </row>
    <row r="9" spans="1:8" x14ac:dyDescent="0.25">
      <c r="A9" s="2">
        <v>6</v>
      </c>
      <c r="B9" s="2">
        <v>21</v>
      </c>
      <c r="C9" s="5">
        <v>5.11161578174861E-5</v>
      </c>
      <c r="D9" s="2">
        <v>3.08107632266205E-4</v>
      </c>
      <c r="F9" s="8">
        <f>B9</f>
        <v>21</v>
      </c>
      <c r="G9" s="8">
        <f>citaconrama!B9</f>
        <v>8</v>
      </c>
      <c r="H9" s="6">
        <f t="shared" si="0"/>
        <v>-0.61904761904761907</v>
      </c>
    </row>
    <row r="10" spans="1:8" x14ac:dyDescent="0.25">
      <c r="A10" s="2">
        <v>7</v>
      </c>
      <c r="B10" s="2">
        <v>38</v>
      </c>
      <c r="C10" s="5">
        <v>9.2495904622117694E-5</v>
      </c>
      <c r="D10" s="2">
        <v>5.5752809648170398E-4</v>
      </c>
      <c r="F10" s="8">
        <f>B10</f>
        <v>38</v>
      </c>
      <c r="G10" s="8">
        <f>citaconrama!B10</f>
        <v>21</v>
      </c>
      <c r="H10" s="6">
        <f t="shared" si="0"/>
        <v>-0.44736842105263158</v>
      </c>
    </row>
    <row r="11" spans="1:8" x14ac:dyDescent="0.25">
      <c r="A11" s="2">
        <v>8</v>
      </c>
      <c r="B11" s="2">
        <v>64</v>
      </c>
      <c r="C11" s="2">
        <v>1.55782576205672E-4</v>
      </c>
      <c r="D11" s="2">
        <v>9.3899468881129095E-4</v>
      </c>
      <c r="F11" s="8">
        <f>B11</f>
        <v>64</v>
      </c>
      <c r="G11" s="8">
        <f>citaconrama!B11</f>
        <v>7</v>
      </c>
      <c r="H11" s="6">
        <f t="shared" si="0"/>
        <v>-0.890625</v>
      </c>
    </row>
    <row r="12" spans="1:8" x14ac:dyDescent="0.25">
      <c r="A12" s="2">
        <v>9</v>
      </c>
      <c r="B12" s="2">
        <v>68</v>
      </c>
      <c r="C12" s="2">
        <v>1.65518987218526E-4</v>
      </c>
      <c r="D12" s="2">
        <v>9.9768185686199698E-4</v>
      </c>
      <c r="F12" s="8">
        <f>B12</f>
        <v>68</v>
      </c>
      <c r="G12" s="8">
        <f>citaconrama!B12</f>
        <v>13</v>
      </c>
      <c r="H12" s="6">
        <f t="shared" si="0"/>
        <v>-0.80882352941176472</v>
      </c>
    </row>
    <row r="13" spans="1:8" x14ac:dyDescent="0.25">
      <c r="A13" s="2" t="s">
        <v>56</v>
      </c>
      <c r="B13" s="2">
        <v>41826</v>
      </c>
      <c r="C13" s="2">
        <v>0.101808781755913</v>
      </c>
      <c r="D13" s="2">
        <v>0.61366237272220403</v>
      </c>
      <c r="F13" s="8">
        <f>B13</f>
        <v>41826</v>
      </c>
      <c r="G13" s="8">
        <f>citaconrama!B13</f>
        <v>47533</v>
      </c>
      <c r="H13" s="6">
        <f>(G13-F13)/F13</f>
        <v>0.13644622961794101</v>
      </c>
    </row>
    <row r="14" spans="1:8" x14ac:dyDescent="0.25">
      <c r="A14" s="2" t="s">
        <v>55</v>
      </c>
      <c r="B14" s="2">
        <v>5119</v>
      </c>
      <c r="C14" s="2">
        <v>1.2460171993700499E-2</v>
      </c>
      <c r="D14" s="2">
        <v>7.5104903312890603E-2</v>
      </c>
      <c r="F14" s="8">
        <f>B14</f>
        <v>5119</v>
      </c>
      <c r="G14" s="8">
        <f>citaconrama!B14</f>
        <v>6222</v>
      </c>
      <c r="H14" s="6">
        <f t="shared" ref="H14:H39" si="1">(G14-F14)/F14</f>
        <v>0.21547177183043564</v>
      </c>
    </row>
    <row r="15" spans="1:8" x14ac:dyDescent="0.25">
      <c r="A15" s="2" t="s">
        <v>54</v>
      </c>
      <c r="B15" s="2">
        <v>13604</v>
      </c>
      <c r="C15" s="2">
        <v>3.3113533854718102E-2</v>
      </c>
      <c r="D15" s="2">
        <v>0.19959505854045001</v>
      </c>
      <c r="F15" s="8">
        <f>B15</f>
        <v>13604</v>
      </c>
      <c r="G15" s="8">
        <f>citaconrama!B15</f>
        <v>14932</v>
      </c>
      <c r="H15" s="6">
        <f t="shared" si="1"/>
        <v>9.7618347544839751E-2</v>
      </c>
    </row>
    <row r="16" spans="1:8" x14ac:dyDescent="0.25">
      <c r="A16" s="2" t="s">
        <v>53</v>
      </c>
      <c r="B16" s="2">
        <v>16633</v>
      </c>
      <c r="C16" s="2">
        <v>4.0486431094202198E-2</v>
      </c>
      <c r="D16" s="2">
        <v>0.244035916546847</v>
      </c>
      <c r="F16" s="8">
        <f>B16</f>
        <v>16633</v>
      </c>
      <c r="G16" s="8">
        <f>citaconrama!B16</f>
        <v>18117</v>
      </c>
      <c r="H16" s="6">
        <f t="shared" si="1"/>
        <v>8.9220224854205499E-2</v>
      </c>
    </row>
    <row r="17" spans="1:8" x14ac:dyDescent="0.25">
      <c r="A17" s="2" t="s">
        <v>52</v>
      </c>
      <c r="B17" s="2">
        <v>45255</v>
      </c>
      <c r="C17" s="2">
        <v>0.110155320096683</v>
      </c>
      <c r="D17" s="2">
        <v>0.66397194753367195</v>
      </c>
      <c r="F17" s="8">
        <f>B17</f>
        <v>45255</v>
      </c>
      <c r="G17" s="8">
        <f>citaconrama!B17</f>
        <v>47719</v>
      </c>
      <c r="H17" s="6">
        <f t="shared" si="1"/>
        <v>5.4447022428460945E-2</v>
      </c>
    </row>
    <row r="18" spans="1:8" x14ac:dyDescent="0.25">
      <c r="A18" s="2" t="s">
        <v>51</v>
      </c>
      <c r="B18" s="2">
        <v>2216</v>
      </c>
      <c r="C18" s="2">
        <v>5.3939717011213901E-3</v>
      </c>
      <c r="D18" s="2">
        <v>3.2512691100091001E-2</v>
      </c>
      <c r="F18" s="8">
        <f>B18</f>
        <v>2216</v>
      </c>
      <c r="G18" s="8">
        <f>citaconrama!B18</f>
        <v>2263</v>
      </c>
      <c r="H18" s="6">
        <f t="shared" si="1"/>
        <v>2.1209386281588447E-2</v>
      </c>
    </row>
    <row r="19" spans="1:8" x14ac:dyDescent="0.25">
      <c r="A19" s="2" t="s">
        <v>50</v>
      </c>
      <c r="B19" s="2">
        <v>3815</v>
      </c>
      <c r="C19" s="2">
        <v>9.2861020035099797E-3</v>
      </c>
      <c r="D19" s="2">
        <v>5.5972886528360598E-2</v>
      </c>
      <c r="F19" s="8">
        <f>B19</f>
        <v>3815</v>
      </c>
      <c r="G19" s="8">
        <f>citaconrama!B19</f>
        <v>3968</v>
      </c>
      <c r="H19" s="6">
        <f t="shared" si="1"/>
        <v>4.0104849279161206E-2</v>
      </c>
    </row>
    <row r="20" spans="1:8" x14ac:dyDescent="0.25">
      <c r="A20" s="2" t="s">
        <v>49</v>
      </c>
      <c r="B20" s="2">
        <v>4371</v>
      </c>
      <c r="C20" s="2">
        <v>1.0639463134296799E-2</v>
      </c>
      <c r="D20" s="2">
        <v>6.4130402887408705E-2</v>
      </c>
      <c r="F20" s="8">
        <f>B20</f>
        <v>4371</v>
      </c>
      <c r="G20" s="8">
        <f>citaconrama!B20</f>
        <v>3381</v>
      </c>
      <c r="H20" s="6">
        <f t="shared" si="1"/>
        <v>-0.22649279341111875</v>
      </c>
    </row>
    <row r="21" spans="1:8" x14ac:dyDescent="0.25">
      <c r="A21" s="2" t="s">
        <v>48</v>
      </c>
      <c r="B21" s="2">
        <v>23250</v>
      </c>
      <c r="C21" s="2">
        <v>5.6592889012216797E-2</v>
      </c>
      <c r="D21" s="2">
        <v>0.341119164294727</v>
      </c>
      <c r="F21" s="8">
        <f>B21</f>
        <v>23250</v>
      </c>
      <c r="G21" s="8">
        <f>citaconrama!B21</f>
        <v>24035</v>
      </c>
      <c r="H21" s="6">
        <f t="shared" si="1"/>
        <v>3.3763440860215051E-2</v>
      </c>
    </row>
    <row r="22" spans="1:8" x14ac:dyDescent="0.25">
      <c r="A22" s="2" t="s">
        <v>47</v>
      </c>
      <c r="B22" s="2">
        <v>1664</v>
      </c>
      <c r="C22" s="2">
        <v>4.0503469813474701E-3</v>
      </c>
      <c r="D22" s="2">
        <v>2.4413861909093601E-2</v>
      </c>
      <c r="F22" s="8">
        <f>B22</f>
        <v>1664</v>
      </c>
      <c r="G22" s="8">
        <f>citaconrama!B22</f>
        <v>1551</v>
      </c>
      <c r="H22" s="6">
        <f t="shared" si="1"/>
        <v>-6.7908653846153841E-2</v>
      </c>
    </row>
    <row r="23" spans="1:8" x14ac:dyDescent="0.25">
      <c r="A23" s="60" t="s">
        <v>46</v>
      </c>
      <c r="B23" s="2">
        <v>34</v>
      </c>
      <c r="C23" s="5">
        <v>8.2759493609263203E-5</v>
      </c>
      <c r="D23" s="2">
        <v>4.9884092843099903E-4</v>
      </c>
      <c r="F23" s="59">
        <f>B23</f>
        <v>34</v>
      </c>
      <c r="G23" s="59">
        <f>citaconrama!B23</f>
        <v>311</v>
      </c>
      <c r="H23" s="6">
        <f t="shared" si="1"/>
        <v>8.1470588235294112</v>
      </c>
    </row>
    <row r="24" spans="1:8" x14ac:dyDescent="0.25">
      <c r="A24" s="2" t="s">
        <v>45</v>
      </c>
      <c r="B24" s="2">
        <v>19157</v>
      </c>
      <c r="C24" s="2">
        <v>4.6630106443313397E-2</v>
      </c>
      <c r="D24" s="2">
        <v>0.28106751958684201</v>
      </c>
      <c r="F24" s="8">
        <f>B24</f>
        <v>19157</v>
      </c>
      <c r="G24" s="8">
        <f>citaconrama!B24</f>
        <v>18764</v>
      </c>
      <c r="H24" s="6">
        <f t="shared" si="1"/>
        <v>-2.0514694367594091E-2</v>
      </c>
    </row>
    <row r="25" spans="1:8" x14ac:dyDescent="0.25">
      <c r="A25" s="2" t="s">
        <v>44</v>
      </c>
      <c r="B25" s="2">
        <v>9801</v>
      </c>
      <c r="C25" s="2">
        <v>2.3856641084246701E-2</v>
      </c>
      <c r="D25" s="2">
        <v>0.14379823351624199</v>
      </c>
      <c r="F25" s="8">
        <f>B25</f>
        <v>9801</v>
      </c>
      <c r="G25" s="8">
        <f>citaconrama!B25</f>
        <v>11381</v>
      </c>
      <c r="H25" s="6">
        <f t="shared" si="1"/>
        <v>0.16120803999591879</v>
      </c>
    </row>
    <row r="26" spans="1:8" x14ac:dyDescent="0.25">
      <c r="A26" s="2" t="s">
        <v>43</v>
      </c>
      <c r="B26" s="2">
        <v>24449</v>
      </c>
      <c r="C26" s="2">
        <v>5.95113782133199E-2</v>
      </c>
      <c r="D26" s="2">
        <v>0.35871064291792598</v>
      </c>
      <c r="F26" s="8">
        <f>B26</f>
        <v>24449</v>
      </c>
      <c r="G26" s="8">
        <f>citaconrama!B26</f>
        <v>25933</v>
      </c>
      <c r="H26" s="6">
        <f t="shared" si="1"/>
        <v>6.0697779050267901E-2</v>
      </c>
    </row>
    <row r="27" spans="1:8" x14ac:dyDescent="0.25">
      <c r="A27" s="2" t="s">
        <v>42</v>
      </c>
      <c r="B27" s="2">
        <v>434</v>
      </c>
      <c r="C27" s="2">
        <v>1.05640059489471E-3</v>
      </c>
      <c r="D27" s="2">
        <v>6.3675577335015696E-3</v>
      </c>
      <c r="F27" s="8">
        <f>B27</f>
        <v>434</v>
      </c>
      <c r="G27" s="8">
        <f>citaconrama!B27</f>
        <v>455</v>
      </c>
      <c r="H27" s="6">
        <f t="shared" si="1"/>
        <v>4.8387096774193547E-2</v>
      </c>
    </row>
    <row r="28" spans="1:8" x14ac:dyDescent="0.25">
      <c r="A28" s="2" t="s">
        <v>41</v>
      </c>
      <c r="B28" s="2">
        <v>32882</v>
      </c>
      <c r="C28" s="2">
        <v>8.0038166731170396E-2</v>
      </c>
      <c r="D28" s="2">
        <v>0.48243786496082602</v>
      </c>
      <c r="F28" s="8">
        <f>B28</f>
        <v>32882</v>
      </c>
      <c r="G28" s="8">
        <f>citaconrama!B28</f>
        <v>34380</v>
      </c>
      <c r="H28" s="6">
        <f t="shared" si="1"/>
        <v>4.5556839608296332E-2</v>
      </c>
    </row>
    <row r="29" spans="1:8" x14ac:dyDescent="0.25">
      <c r="A29" s="2" t="s">
        <v>40</v>
      </c>
      <c r="B29" s="2">
        <v>9150</v>
      </c>
      <c r="C29" s="2">
        <v>2.22720401919047E-2</v>
      </c>
      <c r="D29" s="2">
        <v>0.13424689691598901</v>
      </c>
      <c r="F29" s="8">
        <f>B29</f>
        <v>9150</v>
      </c>
      <c r="G29" s="8">
        <f>citaconrama!B29</f>
        <v>9747</v>
      </c>
      <c r="H29" s="6">
        <f t="shared" si="1"/>
        <v>6.5245901639344267E-2</v>
      </c>
    </row>
    <row r="30" spans="1:8" x14ac:dyDescent="0.25">
      <c r="A30" s="2" t="s">
        <v>39</v>
      </c>
      <c r="B30" s="2">
        <v>3882</v>
      </c>
      <c r="C30" s="2">
        <v>9.4491868879752906E-3</v>
      </c>
      <c r="D30" s="2">
        <v>5.6955896593209897E-2</v>
      </c>
      <c r="F30" s="8">
        <f>B30</f>
        <v>3882</v>
      </c>
      <c r="G30" s="8">
        <f>citaconrama!B30</f>
        <v>3025</v>
      </c>
      <c r="H30" s="6">
        <f t="shared" si="1"/>
        <v>-0.22076249356002062</v>
      </c>
    </row>
    <row r="31" spans="1:8" x14ac:dyDescent="0.25">
      <c r="A31" s="2" t="s">
        <v>38</v>
      </c>
      <c r="B31" s="2">
        <v>22888</v>
      </c>
      <c r="C31" s="2">
        <v>5.5711743815553397E-2</v>
      </c>
      <c r="D31" s="2">
        <v>0.33580797558613801</v>
      </c>
      <c r="F31" s="8">
        <f>B31</f>
        <v>22888</v>
      </c>
      <c r="G31" s="8">
        <f>citaconrama!B31</f>
        <v>26142</v>
      </c>
      <c r="H31" s="6">
        <f t="shared" si="1"/>
        <v>0.14217056973086334</v>
      </c>
    </row>
    <row r="32" spans="1:8" x14ac:dyDescent="0.25">
      <c r="A32" s="2" t="s">
        <v>37</v>
      </c>
      <c r="B32" s="2">
        <v>24398</v>
      </c>
      <c r="C32" s="2">
        <v>5.9387238972906001E-2</v>
      </c>
      <c r="D32" s="2">
        <v>0.35796238152527898</v>
      </c>
      <c r="F32" s="8">
        <f>B32</f>
        <v>24398</v>
      </c>
      <c r="G32" s="8">
        <f>citaconrama!B32</f>
        <v>26097</v>
      </c>
      <c r="H32" s="6">
        <f t="shared" si="1"/>
        <v>6.9636855479957377E-2</v>
      </c>
    </row>
    <row r="33" spans="1:9" x14ac:dyDescent="0.25">
      <c r="A33" s="2" t="s">
        <v>36</v>
      </c>
      <c r="B33" s="2">
        <v>14761</v>
      </c>
      <c r="C33" s="2">
        <v>3.5929790740186297E-2</v>
      </c>
      <c r="D33" s="2">
        <v>0.21657032189911701</v>
      </c>
      <c r="F33" s="8">
        <f>B33</f>
        <v>14761</v>
      </c>
      <c r="G33" s="8">
        <f>citaconrama!B33</f>
        <v>16755</v>
      </c>
      <c r="H33" s="6">
        <f t="shared" si="1"/>
        <v>0.13508569880089424</v>
      </c>
    </row>
    <row r="34" spans="1:9" x14ac:dyDescent="0.25">
      <c r="A34" s="2" t="s">
        <v>35</v>
      </c>
      <c r="B34" s="2">
        <v>14494</v>
      </c>
      <c r="C34" s="2">
        <v>3.52798853050783E-2</v>
      </c>
      <c r="D34" s="2">
        <v>0.21265295343173199</v>
      </c>
      <c r="F34" s="8">
        <f>B34</f>
        <v>14494</v>
      </c>
      <c r="G34" s="8">
        <f>citaconrama!B34</f>
        <v>15697</v>
      </c>
      <c r="H34" s="6">
        <f t="shared" si="1"/>
        <v>8.2999862011866973E-2</v>
      </c>
    </row>
    <row r="35" spans="1:9" x14ac:dyDescent="0.25">
      <c r="A35" s="2" t="s">
        <v>34</v>
      </c>
      <c r="B35" s="2">
        <v>3245</v>
      </c>
      <c r="C35" s="2">
        <v>7.8986634341782092E-3</v>
      </c>
      <c r="D35" s="2">
        <v>4.7609965081134999E-2</v>
      </c>
      <c r="F35" s="8">
        <f>B35</f>
        <v>3245</v>
      </c>
      <c r="G35" s="8">
        <f>citaconrama!B35</f>
        <v>3628</v>
      </c>
      <c r="H35" s="6">
        <f t="shared" si="1"/>
        <v>0.11802773497688752</v>
      </c>
    </row>
    <row r="36" spans="1:9" x14ac:dyDescent="0.25">
      <c r="A36" s="60" t="s">
        <v>33</v>
      </c>
      <c r="B36" s="2">
        <v>382</v>
      </c>
      <c r="C36" s="2">
        <v>9.2982725172760397E-4</v>
      </c>
      <c r="D36" s="2">
        <v>5.6046245488424002E-3</v>
      </c>
      <c r="F36" s="59">
        <f>B36</f>
        <v>382</v>
      </c>
      <c r="G36" s="59">
        <f>citaconrama!B36</f>
        <v>38</v>
      </c>
      <c r="H36" s="6">
        <f t="shared" si="1"/>
        <v>-0.90052356020942403</v>
      </c>
    </row>
    <row r="37" spans="1:9" x14ac:dyDescent="0.25">
      <c r="A37" s="2" t="s">
        <v>32</v>
      </c>
      <c r="B37" s="2">
        <v>583</v>
      </c>
      <c r="C37" s="2">
        <v>1.4190819051235399E-3</v>
      </c>
      <c r="D37" s="2">
        <v>8.5536547433903605E-3</v>
      </c>
      <c r="F37" s="8">
        <f>B37</f>
        <v>583</v>
      </c>
      <c r="G37" s="8">
        <f>citaconrama!B37</f>
        <v>748</v>
      </c>
      <c r="H37" s="6">
        <f t="shared" si="1"/>
        <v>0.28301886792452829</v>
      </c>
    </row>
    <row r="38" spans="1:9" x14ac:dyDescent="0.25">
      <c r="A38" s="2" t="s">
        <v>31</v>
      </c>
      <c r="B38" s="2">
        <v>2674</v>
      </c>
      <c r="C38" s="2">
        <v>6.5087907620932301E-3</v>
      </c>
      <c r="D38" s="2">
        <v>3.9232371841896797E-2</v>
      </c>
      <c r="F38" s="8">
        <f>B38</f>
        <v>2674</v>
      </c>
      <c r="G38" s="8">
        <f>citaconrama!B38</f>
        <v>2548</v>
      </c>
      <c r="H38" s="6">
        <f t="shared" si="1"/>
        <v>-4.712041884816754E-2</v>
      </c>
    </row>
    <row r="39" spans="1:9" x14ac:dyDescent="0.25">
      <c r="A39" s="2" t="s">
        <v>30</v>
      </c>
      <c r="B39" s="2">
        <v>1103</v>
      </c>
      <c r="C39" s="2">
        <v>2.6848153367946301E-3</v>
      </c>
      <c r="D39" s="2">
        <v>1.6182986589982101E-2</v>
      </c>
      <c r="F39" s="8">
        <f>B39</f>
        <v>1103</v>
      </c>
      <c r="G39" s="8">
        <f>citaconrama!B39</f>
        <v>1526</v>
      </c>
      <c r="H39" s="6">
        <f t="shared" si="1"/>
        <v>0.38349954669084313</v>
      </c>
    </row>
    <row r="40" spans="1:9" x14ac:dyDescent="0.25">
      <c r="F40" s="4"/>
      <c r="G40" s="4"/>
    </row>
    <row r="41" spans="1:9" x14ac:dyDescent="0.25">
      <c r="A41" s="2" t="s">
        <v>63</v>
      </c>
      <c r="F41" s="62">
        <f>SUM(C3:C12)</f>
        <v>1.4628957546813873E-3</v>
      </c>
      <c r="G41" s="62">
        <f>SUM(citaconrama!C3:C12)</f>
        <v>4.3683658258688316E-4</v>
      </c>
      <c r="H41" s="61">
        <f>F41/G41</f>
        <v>3.348839847657286</v>
      </c>
    </row>
    <row r="42" spans="1:9" x14ac:dyDescent="0.25">
      <c r="A42" s="2" t="s">
        <v>46</v>
      </c>
      <c r="F42" s="62">
        <f>C23</f>
        <v>8.2759493609263203E-5</v>
      </c>
      <c r="G42" s="62">
        <f>citaconrama!C23</f>
        <v>7.0028957311608605E-4</v>
      </c>
      <c r="H42" s="61">
        <f>G42/F42</f>
        <v>8.4617430892267222</v>
      </c>
      <c r="I42" s="7"/>
    </row>
    <row r="43" spans="1:9" x14ac:dyDescent="0.25">
      <c r="A43" s="2" t="s">
        <v>33</v>
      </c>
      <c r="F43" s="62">
        <f>C36</f>
        <v>9.2982725172760397E-4</v>
      </c>
      <c r="G43" s="62">
        <f>citaconrama!C36</f>
        <v>8.55659285479462E-5</v>
      </c>
      <c r="H43" s="61">
        <f>F43/G43</f>
        <v>10.866793214387693</v>
      </c>
    </row>
  </sheetData>
  <conditionalFormatting sqref="H2:H39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{C67A75FC-16B4-48F1-BFD7-8B05F62972CD}</x14:id>
        </ext>
      </extLst>
    </cfRule>
  </conditionalFormatting>
  <pageMargins left="0.7" right="0.7" top="0.75" bottom="0.75" header="0.3" footer="0.3"/>
  <ignoredErrors>
    <ignoredError sqref="F41:G41" formulaRange="1"/>
    <ignoredError sqref="H42" formula="1"/>
  </ignoredErrors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67A75FC-16B4-48F1-BFD7-8B05F62972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H2:H39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D8B7E-0F43-4E02-BD79-40CFB3A0FB4B}">
  <sheetPr codeName="Hoja1"/>
  <dimension ref="A1:D39"/>
  <sheetViews>
    <sheetView workbookViewId="0"/>
  </sheetViews>
  <sheetFormatPr baseColWidth="10" defaultRowHeight="15" x14ac:dyDescent="0.25"/>
  <cols>
    <col min="1" max="4" width="11.42578125" style="2"/>
  </cols>
  <sheetData>
    <row r="1" spans="1:4" s="4" customFormat="1" x14ac:dyDescent="0.25">
      <c r="A1" s="3" t="s">
        <v>59</v>
      </c>
      <c r="B1" s="3" t="s">
        <v>58</v>
      </c>
      <c r="C1" s="3" t="s">
        <v>57</v>
      </c>
      <c r="D1" s="3" t="s">
        <v>60</v>
      </c>
    </row>
    <row r="2" spans="1:4" x14ac:dyDescent="0.25">
      <c r="A2" s="2" t="s">
        <v>29</v>
      </c>
      <c r="B2" s="2">
        <v>77012</v>
      </c>
      <c r="C2" s="2">
        <v>0.17341061287722201</v>
      </c>
      <c r="D2" s="2">
        <v>1</v>
      </c>
    </row>
    <row r="3" spans="1:4" x14ac:dyDescent="0.25">
      <c r="A3" s="2">
        <v>0</v>
      </c>
      <c r="B3" s="2">
        <v>34</v>
      </c>
      <c r="C3" s="5">
        <v>7.6558988700794E-5</v>
      </c>
      <c r="D3" s="2">
        <v>4.41489637978497E-4</v>
      </c>
    </row>
    <row r="4" spans="1:4" x14ac:dyDescent="0.25">
      <c r="A4" s="2">
        <v>1</v>
      </c>
      <c r="B4" s="2">
        <v>39</v>
      </c>
      <c r="C4" s="5">
        <v>8.7817663509734206E-5</v>
      </c>
      <c r="D4" s="2">
        <v>5.0641458474004095E-4</v>
      </c>
    </row>
    <row r="5" spans="1:4" x14ac:dyDescent="0.25">
      <c r="A5" s="2">
        <v>2</v>
      </c>
      <c r="B5" s="2">
        <v>26</v>
      </c>
      <c r="C5" s="5">
        <v>5.85451090064895E-5</v>
      </c>
      <c r="D5" s="2">
        <v>3.3760972316002698E-4</v>
      </c>
    </row>
    <row r="6" spans="1:4" x14ac:dyDescent="0.25">
      <c r="A6" s="2">
        <v>3</v>
      </c>
      <c r="B6" s="2">
        <v>20</v>
      </c>
      <c r="C6" s="5">
        <v>4.5034699235761201E-5</v>
      </c>
      <c r="D6" s="2">
        <v>2.5969978704617499E-4</v>
      </c>
    </row>
    <row r="7" spans="1:4" x14ac:dyDescent="0.25">
      <c r="A7" s="2">
        <v>4</v>
      </c>
      <c r="B7" s="2">
        <v>17</v>
      </c>
      <c r="C7" s="5">
        <v>3.8279494350397E-5</v>
      </c>
      <c r="D7" s="2">
        <v>2.2074481898924799E-4</v>
      </c>
    </row>
    <row r="8" spans="1:4" x14ac:dyDescent="0.25">
      <c r="A8" s="2">
        <v>5</v>
      </c>
      <c r="B8" s="2">
        <v>9</v>
      </c>
      <c r="C8" s="5">
        <v>2.02656146560925E-5</v>
      </c>
      <c r="D8" s="2">
        <v>1.16864904170779E-4</v>
      </c>
    </row>
    <row r="9" spans="1:4" x14ac:dyDescent="0.25">
      <c r="A9" s="2">
        <v>6</v>
      </c>
      <c r="B9" s="2">
        <v>8</v>
      </c>
      <c r="C9" s="5">
        <v>1.8013879694304501E-5</v>
      </c>
      <c r="D9" s="2">
        <v>1.0387991481847E-4</v>
      </c>
    </row>
    <row r="10" spans="1:4" x14ac:dyDescent="0.25">
      <c r="A10" s="2">
        <v>7</v>
      </c>
      <c r="B10" s="2">
        <v>21</v>
      </c>
      <c r="C10" s="5">
        <v>4.72864341975492E-5</v>
      </c>
      <c r="D10" s="2">
        <v>2.7268477639848297E-4</v>
      </c>
    </row>
    <row r="11" spans="1:4" x14ac:dyDescent="0.25">
      <c r="A11" s="2">
        <v>8</v>
      </c>
      <c r="B11" s="2">
        <v>7</v>
      </c>
      <c r="C11" s="5">
        <v>1.57621447325164E-5</v>
      </c>
      <c r="D11" s="5">
        <v>9.0894925466161104E-5</v>
      </c>
    </row>
    <row r="12" spans="1:4" x14ac:dyDescent="0.25">
      <c r="A12" s="2">
        <v>9</v>
      </c>
      <c r="B12" s="2">
        <v>13</v>
      </c>
      <c r="C12" s="5">
        <v>2.9272554503244699E-5</v>
      </c>
      <c r="D12" s="2">
        <v>1.68804861580014E-4</v>
      </c>
    </row>
    <row r="13" spans="1:4" x14ac:dyDescent="0.25">
      <c r="A13" s="2" t="s">
        <v>56</v>
      </c>
      <c r="B13" s="2">
        <v>47533</v>
      </c>
      <c r="C13" s="2">
        <v>0.107031717938672</v>
      </c>
      <c r="D13" s="2">
        <v>0.61721549888329097</v>
      </c>
    </row>
    <row r="14" spans="1:4" x14ac:dyDescent="0.25">
      <c r="A14" s="2" t="s">
        <v>55</v>
      </c>
      <c r="B14" s="2">
        <v>6222</v>
      </c>
      <c r="C14" s="2">
        <v>1.40102949322453E-2</v>
      </c>
      <c r="D14" s="2">
        <v>8.0792603750064904E-2</v>
      </c>
    </row>
    <row r="15" spans="1:4" x14ac:dyDescent="0.25">
      <c r="A15" s="2" t="s">
        <v>54</v>
      </c>
      <c r="B15" s="2">
        <v>14932</v>
      </c>
      <c r="C15" s="2">
        <v>3.3622906449419301E-2</v>
      </c>
      <c r="D15" s="2">
        <v>0.193891861008674</v>
      </c>
    </row>
    <row r="16" spans="1:4" x14ac:dyDescent="0.25">
      <c r="A16" s="2" t="s">
        <v>53</v>
      </c>
      <c r="B16" s="2">
        <v>18117</v>
      </c>
      <c r="C16" s="2">
        <v>4.07946823027142E-2</v>
      </c>
      <c r="D16" s="2">
        <v>0.23524905209577701</v>
      </c>
    </row>
    <row r="17" spans="1:4" x14ac:dyDescent="0.25">
      <c r="A17" s="2" t="s">
        <v>52</v>
      </c>
      <c r="B17" s="2">
        <v>47719</v>
      </c>
      <c r="C17" s="2">
        <v>0.10745054064156399</v>
      </c>
      <c r="D17" s="2">
        <v>0.61963070690281996</v>
      </c>
    </row>
    <row r="18" spans="1:4" x14ac:dyDescent="0.25">
      <c r="A18" s="2" t="s">
        <v>51</v>
      </c>
      <c r="B18" s="2">
        <v>2263</v>
      </c>
      <c r="C18" s="2">
        <v>5.0956762185263701E-3</v>
      </c>
      <c r="D18" s="2">
        <v>2.93850309042747E-2</v>
      </c>
    </row>
    <row r="19" spans="1:4" x14ac:dyDescent="0.25">
      <c r="A19" s="2" t="s">
        <v>50</v>
      </c>
      <c r="B19" s="2">
        <v>3968</v>
      </c>
      <c r="C19" s="2">
        <v>8.9348843283750101E-3</v>
      </c>
      <c r="D19" s="2">
        <v>5.1524437749961002E-2</v>
      </c>
    </row>
    <row r="20" spans="1:4" x14ac:dyDescent="0.25">
      <c r="A20" s="2" t="s">
        <v>49</v>
      </c>
      <c r="B20" s="2">
        <v>3381</v>
      </c>
      <c r="C20" s="2">
        <v>7.6131159058054204E-3</v>
      </c>
      <c r="D20" s="2">
        <v>4.3902249000155803E-2</v>
      </c>
    </row>
    <row r="21" spans="1:4" x14ac:dyDescent="0.25">
      <c r="A21" s="2" t="s">
        <v>48</v>
      </c>
      <c r="B21" s="2">
        <v>24035</v>
      </c>
      <c r="C21" s="2">
        <v>5.4120449806576001E-2</v>
      </c>
      <c r="D21" s="2">
        <v>0.31209421908273999</v>
      </c>
    </row>
    <row r="22" spans="1:4" x14ac:dyDescent="0.25">
      <c r="A22" s="2" t="s">
        <v>47</v>
      </c>
      <c r="B22" s="2">
        <v>1551</v>
      </c>
      <c r="C22" s="2">
        <v>3.4924409257332798E-3</v>
      </c>
      <c r="D22" s="2">
        <v>2.0139718485430801E-2</v>
      </c>
    </row>
    <row r="23" spans="1:4" x14ac:dyDescent="0.25">
      <c r="A23" s="2" t="s">
        <v>46</v>
      </c>
      <c r="B23" s="2">
        <v>311</v>
      </c>
      <c r="C23" s="2">
        <v>7.0028957311608605E-4</v>
      </c>
      <c r="D23" s="2">
        <v>4.0383316885680203E-3</v>
      </c>
    </row>
    <row r="24" spans="1:4" x14ac:dyDescent="0.25">
      <c r="A24" s="2" t="s">
        <v>45</v>
      </c>
      <c r="B24" s="2">
        <v>18764</v>
      </c>
      <c r="C24" s="2">
        <v>4.2251554822991103E-2</v>
      </c>
      <c r="D24" s="2">
        <v>0.24365034020672099</v>
      </c>
    </row>
    <row r="25" spans="1:4" x14ac:dyDescent="0.25">
      <c r="A25" s="2" t="s">
        <v>44</v>
      </c>
      <c r="B25" s="2">
        <v>11381</v>
      </c>
      <c r="C25" s="2">
        <v>2.5626995600109899E-2</v>
      </c>
      <c r="D25" s="2">
        <v>0.14778216381862599</v>
      </c>
    </row>
    <row r="26" spans="1:4" x14ac:dyDescent="0.25">
      <c r="A26" s="2" t="s">
        <v>43</v>
      </c>
      <c r="B26" s="2">
        <v>25933</v>
      </c>
      <c r="C26" s="2">
        <v>5.8394242764049697E-2</v>
      </c>
      <c r="D26" s="2">
        <v>0.33673972887342202</v>
      </c>
    </row>
    <row r="27" spans="1:4" x14ac:dyDescent="0.25">
      <c r="A27" s="2" t="s">
        <v>42</v>
      </c>
      <c r="B27" s="2">
        <v>455</v>
      </c>
      <c r="C27" s="2">
        <v>1.0245394076135699E-3</v>
      </c>
      <c r="D27" s="2">
        <v>5.9081701553004703E-3</v>
      </c>
    </row>
    <row r="28" spans="1:4" x14ac:dyDescent="0.25">
      <c r="A28" s="2" t="s">
        <v>41</v>
      </c>
      <c r="B28" s="2">
        <v>34380</v>
      </c>
      <c r="C28" s="2">
        <v>7.7414647986273399E-2</v>
      </c>
      <c r="D28" s="2">
        <v>0.44642393393237401</v>
      </c>
    </row>
    <row r="29" spans="1:4" x14ac:dyDescent="0.25">
      <c r="A29" s="2" t="s">
        <v>40</v>
      </c>
      <c r="B29" s="2">
        <v>9747</v>
      </c>
      <c r="C29" s="2">
        <v>2.1947660672548198E-2</v>
      </c>
      <c r="D29" s="2">
        <v>0.12656469121695299</v>
      </c>
    </row>
    <row r="30" spans="1:4" x14ac:dyDescent="0.25">
      <c r="A30" s="2" t="s">
        <v>39</v>
      </c>
      <c r="B30" s="2">
        <v>3025</v>
      </c>
      <c r="C30" s="2">
        <v>6.8114982594088703E-3</v>
      </c>
      <c r="D30" s="2">
        <v>3.9279592790733897E-2</v>
      </c>
    </row>
    <row r="31" spans="1:4" x14ac:dyDescent="0.25">
      <c r="A31" s="2" t="s">
        <v>38</v>
      </c>
      <c r="B31" s="2">
        <v>26142</v>
      </c>
      <c r="C31" s="2">
        <v>5.8864855371063403E-2</v>
      </c>
      <c r="D31" s="2">
        <v>0.339453591648055</v>
      </c>
    </row>
    <row r="32" spans="1:4" x14ac:dyDescent="0.25">
      <c r="A32" s="2" t="s">
        <v>37</v>
      </c>
      <c r="B32" s="2">
        <v>26097</v>
      </c>
      <c r="C32" s="2">
        <v>5.8763527297782898E-2</v>
      </c>
      <c r="D32" s="2">
        <v>0.338869267127201</v>
      </c>
    </row>
    <row r="33" spans="1:4" x14ac:dyDescent="0.25">
      <c r="A33" s="2" t="s">
        <v>36</v>
      </c>
      <c r="B33" s="2">
        <v>16755</v>
      </c>
      <c r="C33" s="2">
        <v>3.77278192847589E-2</v>
      </c>
      <c r="D33" s="2">
        <v>0.217563496597933</v>
      </c>
    </row>
    <row r="34" spans="1:4" x14ac:dyDescent="0.25">
      <c r="A34" s="2" t="s">
        <v>35</v>
      </c>
      <c r="B34" s="2">
        <v>15697</v>
      </c>
      <c r="C34" s="2">
        <v>3.5345483695187099E-2</v>
      </c>
      <c r="D34" s="2">
        <v>0.20382537786318999</v>
      </c>
    </row>
    <row r="35" spans="1:4" x14ac:dyDescent="0.25">
      <c r="A35" s="2" t="s">
        <v>34</v>
      </c>
      <c r="B35" s="2">
        <v>3628</v>
      </c>
      <c r="C35" s="2">
        <v>8.1692944413670702E-3</v>
      </c>
      <c r="D35" s="2">
        <v>4.7109541370176103E-2</v>
      </c>
    </row>
    <row r="36" spans="1:4" x14ac:dyDescent="0.25">
      <c r="A36" s="2" t="s">
        <v>33</v>
      </c>
      <c r="B36" s="2">
        <v>38</v>
      </c>
      <c r="C36" s="5">
        <v>8.55659285479462E-5</v>
      </c>
      <c r="D36" s="2">
        <v>4.9342959538773204E-4</v>
      </c>
    </row>
    <row r="37" spans="1:4" x14ac:dyDescent="0.25">
      <c r="A37" s="2" t="s">
        <v>32</v>
      </c>
      <c r="B37" s="2">
        <v>748</v>
      </c>
      <c r="C37" s="2">
        <v>1.6842977514174701E-3</v>
      </c>
      <c r="D37" s="2">
        <v>9.7127720355269301E-3</v>
      </c>
    </row>
    <row r="38" spans="1:4" x14ac:dyDescent="0.25">
      <c r="A38" s="2" t="s">
        <v>31</v>
      </c>
      <c r="B38" s="2">
        <v>2548</v>
      </c>
      <c r="C38" s="2">
        <v>5.7374206826359703E-3</v>
      </c>
      <c r="D38" s="2">
        <v>3.30857528696826E-2</v>
      </c>
    </row>
    <row r="39" spans="1:4" x14ac:dyDescent="0.25">
      <c r="A39" s="2" t="s">
        <v>30</v>
      </c>
      <c r="B39" s="2">
        <v>1526</v>
      </c>
      <c r="C39" s="2">
        <v>3.4361475516885799E-3</v>
      </c>
      <c r="D39" s="2">
        <v>1.9815093751623099E-2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CB48C-CD45-4740-ABF8-551BF4CC648A}">
  <sheetPr codeName="Hoja5"/>
  <dimension ref="A1:D40"/>
  <sheetViews>
    <sheetView zoomScaleNormal="100" workbookViewId="0"/>
  </sheetViews>
  <sheetFormatPr baseColWidth="10" defaultRowHeight="15" x14ac:dyDescent="0.25"/>
  <cols>
    <col min="1" max="1" width="8.42578125" style="2" customWidth="1"/>
    <col min="2" max="2" width="19.140625" style="2" customWidth="1"/>
    <col min="3" max="3" width="19.140625" customWidth="1"/>
    <col min="4" max="4" width="13.5703125" style="8" customWidth="1"/>
    <col min="6" max="12" width="10.28515625" customWidth="1"/>
  </cols>
  <sheetData>
    <row r="1" spans="1:4" s="4" customFormat="1" x14ac:dyDescent="0.25">
      <c r="A1" s="3" t="s">
        <v>59</v>
      </c>
      <c r="B1" s="3" t="s">
        <v>62</v>
      </c>
      <c r="C1" s="3" t="s">
        <v>61</v>
      </c>
      <c r="D1" s="63" t="s">
        <v>64</v>
      </c>
    </row>
    <row r="2" spans="1:4" x14ac:dyDescent="0.25">
      <c r="A2" s="2" t="s">
        <v>29</v>
      </c>
      <c r="B2" s="2">
        <v>68158</v>
      </c>
      <c r="C2" s="8">
        <v>77012</v>
      </c>
      <c r="D2" s="8">
        <v>145170</v>
      </c>
    </row>
    <row r="3" spans="1:4" x14ac:dyDescent="0.25">
      <c r="A3" s="2" t="s">
        <v>52</v>
      </c>
      <c r="B3" s="2">
        <v>45255</v>
      </c>
      <c r="C3" s="8">
        <v>47719</v>
      </c>
      <c r="D3" s="8">
        <v>92974</v>
      </c>
    </row>
    <row r="4" spans="1:4" x14ac:dyDescent="0.25">
      <c r="A4" s="2" t="s">
        <v>56</v>
      </c>
      <c r="B4" s="2">
        <v>41826</v>
      </c>
      <c r="C4" s="8">
        <v>47533</v>
      </c>
      <c r="D4" s="8">
        <v>89359</v>
      </c>
    </row>
    <row r="5" spans="1:4" x14ac:dyDescent="0.25">
      <c r="A5" s="2" t="s">
        <v>41</v>
      </c>
      <c r="B5" s="2">
        <v>32882</v>
      </c>
      <c r="C5" s="8">
        <v>34380</v>
      </c>
      <c r="D5" s="8">
        <v>67262</v>
      </c>
    </row>
    <row r="6" spans="1:4" x14ac:dyDescent="0.25">
      <c r="A6" s="2" t="s">
        <v>37</v>
      </c>
      <c r="B6" s="2">
        <v>24398</v>
      </c>
      <c r="C6" s="8">
        <v>26097</v>
      </c>
      <c r="D6" s="8">
        <v>50495</v>
      </c>
    </row>
    <row r="7" spans="1:4" x14ac:dyDescent="0.25">
      <c r="A7" s="2" t="s">
        <v>43</v>
      </c>
      <c r="B7" s="2">
        <v>24449</v>
      </c>
      <c r="C7" s="8">
        <v>25933</v>
      </c>
      <c r="D7" s="8">
        <v>50382</v>
      </c>
    </row>
    <row r="8" spans="1:4" x14ac:dyDescent="0.25">
      <c r="A8" s="2" t="s">
        <v>38</v>
      </c>
      <c r="B8" s="2">
        <v>22888</v>
      </c>
      <c r="C8" s="8">
        <v>26142</v>
      </c>
      <c r="D8" s="8">
        <v>49030</v>
      </c>
    </row>
    <row r="9" spans="1:4" x14ac:dyDescent="0.25">
      <c r="A9" s="2" t="s">
        <v>48</v>
      </c>
      <c r="B9" s="2">
        <v>23250</v>
      </c>
      <c r="C9" s="8">
        <v>24035</v>
      </c>
      <c r="D9" s="8">
        <v>47285</v>
      </c>
    </row>
    <row r="10" spans="1:4" x14ac:dyDescent="0.25">
      <c r="A10" s="2" t="s">
        <v>45</v>
      </c>
      <c r="B10" s="2">
        <v>19157</v>
      </c>
      <c r="C10" s="8">
        <v>18764</v>
      </c>
      <c r="D10" s="8">
        <v>37921</v>
      </c>
    </row>
    <row r="11" spans="1:4" x14ac:dyDescent="0.25">
      <c r="A11" s="2" t="s">
        <v>53</v>
      </c>
      <c r="B11" s="2">
        <v>16633</v>
      </c>
      <c r="C11" s="8">
        <v>18117</v>
      </c>
      <c r="D11" s="8">
        <v>34750</v>
      </c>
    </row>
    <row r="12" spans="1:4" x14ac:dyDescent="0.25">
      <c r="A12" s="2" t="s">
        <v>36</v>
      </c>
      <c r="B12" s="2">
        <v>14761</v>
      </c>
      <c r="C12" s="8">
        <v>16755</v>
      </c>
      <c r="D12" s="8">
        <v>31516</v>
      </c>
    </row>
    <row r="13" spans="1:4" x14ac:dyDescent="0.25">
      <c r="A13" s="2" t="s">
        <v>35</v>
      </c>
      <c r="B13" s="2">
        <v>14494</v>
      </c>
      <c r="C13" s="8">
        <v>15697</v>
      </c>
      <c r="D13" s="8">
        <v>30191</v>
      </c>
    </row>
    <row r="14" spans="1:4" x14ac:dyDescent="0.25">
      <c r="A14" s="2" t="s">
        <v>54</v>
      </c>
      <c r="B14" s="2">
        <v>13604</v>
      </c>
      <c r="C14" s="8">
        <v>14932</v>
      </c>
      <c r="D14" s="8">
        <v>28536</v>
      </c>
    </row>
    <row r="15" spans="1:4" x14ac:dyDescent="0.25">
      <c r="A15" s="2" t="s">
        <v>44</v>
      </c>
      <c r="B15" s="2">
        <v>9801</v>
      </c>
      <c r="C15" s="8">
        <v>11381</v>
      </c>
      <c r="D15" s="8">
        <v>21182</v>
      </c>
    </row>
    <row r="16" spans="1:4" x14ac:dyDescent="0.25">
      <c r="A16" s="2" t="s">
        <v>40</v>
      </c>
      <c r="B16" s="2">
        <v>9150</v>
      </c>
      <c r="C16" s="8">
        <v>9747</v>
      </c>
      <c r="D16" s="8">
        <v>18897</v>
      </c>
    </row>
    <row r="17" spans="1:4" x14ac:dyDescent="0.25">
      <c r="A17" s="2" t="s">
        <v>55</v>
      </c>
      <c r="B17" s="2">
        <v>5119</v>
      </c>
      <c r="C17" s="8">
        <v>6222</v>
      </c>
      <c r="D17" s="8">
        <v>11341</v>
      </c>
    </row>
    <row r="18" spans="1:4" x14ac:dyDescent="0.25">
      <c r="A18" s="2" t="s">
        <v>50</v>
      </c>
      <c r="B18" s="2">
        <v>3815</v>
      </c>
      <c r="C18" s="8">
        <v>3968</v>
      </c>
      <c r="D18" s="8">
        <v>7783</v>
      </c>
    </row>
    <row r="19" spans="1:4" x14ac:dyDescent="0.25">
      <c r="A19" s="2" t="s">
        <v>49</v>
      </c>
      <c r="B19" s="2">
        <v>4371</v>
      </c>
      <c r="C19" s="8">
        <v>3381</v>
      </c>
      <c r="D19" s="8">
        <v>7752</v>
      </c>
    </row>
    <row r="20" spans="1:4" x14ac:dyDescent="0.25">
      <c r="A20" s="2" t="s">
        <v>39</v>
      </c>
      <c r="B20" s="2">
        <v>3882</v>
      </c>
      <c r="C20" s="8">
        <v>3025</v>
      </c>
      <c r="D20" s="8">
        <v>6907</v>
      </c>
    </row>
    <row r="21" spans="1:4" x14ac:dyDescent="0.25">
      <c r="A21" s="2" t="s">
        <v>34</v>
      </c>
      <c r="B21" s="2">
        <v>3245</v>
      </c>
      <c r="C21" s="8">
        <v>3628</v>
      </c>
      <c r="D21" s="8">
        <v>6873</v>
      </c>
    </row>
    <row r="22" spans="1:4" x14ac:dyDescent="0.25">
      <c r="A22" s="2" t="s">
        <v>31</v>
      </c>
      <c r="B22" s="2">
        <v>2674</v>
      </c>
      <c r="C22" s="8">
        <v>2548</v>
      </c>
      <c r="D22" s="8">
        <v>5222</v>
      </c>
    </row>
    <row r="23" spans="1:4" x14ac:dyDescent="0.25">
      <c r="A23" s="2" t="s">
        <v>51</v>
      </c>
      <c r="B23" s="2">
        <v>2216</v>
      </c>
      <c r="C23" s="8">
        <v>2263</v>
      </c>
      <c r="D23" s="8">
        <v>4479</v>
      </c>
    </row>
    <row r="24" spans="1:4" x14ac:dyDescent="0.25">
      <c r="A24" s="2" t="s">
        <v>47</v>
      </c>
      <c r="B24" s="2">
        <v>1664</v>
      </c>
      <c r="C24" s="8">
        <v>1551</v>
      </c>
      <c r="D24" s="8">
        <v>3215</v>
      </c>
    </row>
    <row r="25" spans="1:4" x14ac:dyDescent="0.25">
      <c r="A25" s="2" t="s">
        <v>30</v>
      </c>
      <c r="B25" s="2">
        <v>1103</v>
      </c>
      <c r="C25" s="8">
        <v>1526</v>
      </c>
      <c r="D25" s="8">
        <v>2629</v>
      </c>
    </row>
    <row r="26" spans="1:4" x14ac:dyDescent="0.25">
      <c r="A26" s="2" t="s">
        <v>32</v>
      </c>
      <c r="B26" s="2">
        <v>583</v>
      </c>
      <c r="C26" s="8">
        <v>748</v>
      </c>
      <c r="D26" s="8">
        <v>1331</v>
      </c>
    </row>
    <row r="27" spans="1:4" x14ac:dyDescent="0.25">
      <c r="A27" s="2" t="s">
        <v>42</v>
      </c>
      <c r="B27" s="2">
        <v>434</v>
      </c>
      <c r="C27" s="8">
        <v>455</v>
      </c>
      <c r="D27" s="8">
        <v>889</v>
      </c>
    </row>
    <row r="28" spans="1:4" x14ac:dyDescent="0.25">
      <c r="A28" s="60" t="s">
        <v>33</v>
      </c>
      <c r="B28" s="2">
        <v>382</v>
      </c>
      <c r="C28" s="59">
        <v>38</v>
      </c>
      <c r="D28" s="8">
        <v>420</v>
      </c>
    </row>
    <row r="29" spans="1:4" x14ac:dyDescent="0.25">
      <c r="A29" s="60" t="s">
        <v>46</v>
      </c>
      <c r="B29" s="2">
        <v>34</v>
      </c>
      <c r="C29" s="59">
        <v>311</v>
      </c>
      <c r="D29" s="8">
        <v>345</v>
      </c>
    </row>
    <row r="30" spans="1:4" x14ac:dyDescent="0.25">
      <c r="A30" s="2">
        <v>0</v>
      </c>
      <c r="B30" s="2">
        <v>112</v>
      </c>
      <c r="C30" s="8">
        <v>34</v>
      </c>
      <c r="D30" s="8">
        <v>146</v>
      </c>
    </row>
    <row r="31" spans="1:4" x14ac:dyDescent="0.25">
      <c r="A31" s="2">
        <v>2</v>
      </c>
      <c r="B31" s="2">
        <v>88</v>
      </c>
      <c r="C31" s="8">
        <v>26</v>
      </c>
      <c r="D31" s="8">
        <v>114</v>
      </c>
    </row>
    <row r="32" spans="1:4" x14ac:dyDescent="0.25">
      <c r="A32" s="2">
        <v>1</v>
      </c>
      <c r="B32" s="2">
        <v>53</v>
      </c>
      <c r="C32" s="8">
        <v>39</v>
      </c>
      <c r="D32" s="8">
        <v>92</v>
      </c>
    </row>
    <row r="33" spans="1:4" x14ac:dyDescent="0.25">
      <c r="A33" s="2">
        <v>4</v>
      </c>
      <c r="B33" s="2">
        <v>71</v>
      </c>
      <c r="C33" s="8">
        <v>17</v>
      </c>
      <c r="D33" s="8">
        <v>88</v>
      </c>
    </row>
    <row r="34" spans="1:4" x14ac:dyDescent="0.25">
      <c r="A34" s="2">
        <v>5</v>
      </c>
      <c r="B34" s="2">
        <v>72</v>
      </c>
      <c r="C34" s="8">
        <v>9</v>
      </c>
      <c r="D34" s="8">
        <v>81</v>
      </c>
    </row>
    <row r="35" spans="1:4" x14ac:dyDescent="0.25">
      <c r="A35" s="2">
        <v>9</v>
      </c>
      <c r="B35" s="2">
        <v>68</v>
      </c>
      <c r="C35" s="8">
        <v>13</v>
      </c>
      <c r="D35" s="8">
        <v>81</v>
      </c>
    </row>
    <row r="36" spans="1:4" x14ac:dyDescent="0.25">
      <c r="A36" s="2">
        <v>8</v>
      </c>
      <c r="B36" s="2">
        <v>64</v>
      </c>
      <c r="C36" s="8">
        <v>7</v>
      </c>
      <c r="D36" s="8">
        <v>71</v>
      </c>
    </row>
    <row r="37" spans="1:4" x14ac:dyDescent="0.25">
      <c r="A37" s="2">
        <v>7</v>
      </c>
      <c r="B37" s="2">
        <v>38</v>
      </c>
      <c r="C37" s="8">
        <v>21</v>
      </c>
      <c r="D37" s="8">
        <v>59</v>
      </c>
    </row>
    <row r="38" spans="1:4" x14ac:dyDescent="0.25">
      <c r="A38" s="2">
        <v>3</v>
      </c>
      <c r="B38" s="2">
        <v>14</v>
      </c>
      <c r="C38" s="8">
        <v>20</v>
      </c>
      <c r="D38" s="8">
        <v>34</v>
      </c>
    </row>
    <row r="39" spans="1:4" x14ac:dyDescent="0.25">
      <c r="A39" s="2">
        <v>6</v>
      </c>
      <c r="B39" s="2">
        <v>21</v>
      </c>
      <c r="C39" s="8">
        <v>8</v>
      </c>
      <c r="D39" s="8">
        <v>29</v>
      </c>
    </row>
    <row r="40" spans="1:4" x14ac:dyDescent="0.25">
      <c r="D40" s="64">
        <f>SUM(D2:D39)</f>
        <v>854931</v>
      </c>
    </row>
  </sheetData>
  <sortState xmlns:xlrd2="http://schemas.microsoft.com/office/spreadsheetml/2017/richdata2" ref="A2:D39">
    <sortCondition descending="1" ref="D2:D39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8087-AF93-4ADF-BBB8-B1CA3035783A}">
  <sheetPr codeName="Hoja3"/>
  <dimension ref="A1"/>
  <sheetViews>
    <sheetView workbookViewId="0">
      <selection activeCell="L30" sqref="L3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Keyboards</vt:lpstr>
      <vt:lpstr>elfindelaeternidad</vt:lpstr>
      <vt:lpstr>citaconrama</vt:lpstr>
      <vt:lpstr>histograma</vt:lpstr>
      <vt:lpstr>DVORAK_ISO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Luijk</dc:creator>
  <cp:lastModifiedBy>Guillermo Luijk</cp:lastModifiedBy>
  <dcterms:created xsi:type="dcterms:W3CDTF">2025-06-02T20:20:32Z</dcterms:created>
  <dcterms:modified xsi:type="dcterms:W3CDTF">2025-06-10T19:01:01Z</dcterms:modified>
</cp:coreProperties>
</file>